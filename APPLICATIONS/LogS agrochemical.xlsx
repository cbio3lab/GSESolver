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william_zamoraramirez_ucr_ac_cr/Documents/Backup/SOLUBILIDAD/SCRIPTS/APPLICATIONS/"/>
    </mc:Choice>
  </mc:AlternateContent>
  <xr:revisionPtr revIDLastSave="387" documentId="8_{A0CFDA36-6E32-4120-814C-D99704465575}" xr6:coauthVersionLast="47" xr6:coauthVersionMax="47" xr10:uidLastSave="{EA3519FC-5BB3-42F8-84CB-9DC84859F5E5}"/>
  <bookViews>
    <workbookView xWindow="735" yWindow="735" windowWidth="21600" windowHeight="11295" xr2:uid="{DCEA933E-B760-4621-BEA6-3F5BAC6D0DCA}"/>
  </bookViews>
  <sheets>
    <sheet name="Agrochemical molecule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" l="1"/>
  <c r="H5" i="3" s="1"/>
  <c r="J5" i="3" s="1"/>
  <c r="I3" i="3"/>
  <c r="I4" i="3"/>
  <c r="I5" i="3"/>
  <c r="I8" i="3"/>
  <c r="I11" i="3"/>
  <c r="I13" i="3"/>
  <c r="I16" i="3"/>
  <c r="I17" i="3"/>
  <c r="I19" i="3"/>
  <c r="I21" i="3"/>
  <c r="I23" i="3"/>
  <c r="I24" i="3"/>
  <c r="I25" i="3"/>
  <c r="I26" i="3"/>
  <c r="I27" i="3"/>
  <c r="I28" i="3"/>
  <c r="I29" i="3"/>
  <c r="I30" i="3"/>
  <c r="I32" i="3"/>
  <c r="I33" i="3"/>
  <c r="I34" i="3"/>
  <c r="I35" i="3"/>
  <c r="I36" i="3"/>
  <c r="I37" i="3"/>
  <c r="I38" i="3"/>
  <c r="I39" i="3"/>
  <c r="I43" i="3"/>
  <c r="I44" i="3"/>
  <c r="I47" i="3"/>
  <c r="I51" i="3"/>
  <c r="I52" i="3"/>
  <c r="I54" i="3"/>
  <c r="I55" i="3"/>
  <c r="I57" i="3"/>
  <c r="I59" i="3"/>
  <c r="I60" i="3"/>
  <c r="I61" i="3"/>
  <c r="I62" i="3"/>
  <c r="I63" i="3"/>
  <c r="I64" i="3"/>
  <c r="I71" i="3"/>
  <c r="I73" i="3"/>
  <c r="I74" i="3"/>
  <c r="I76" i="3"/>
  <c r="I77" i="3"/>
  <c r="I78" i="3"/>
  <c r="I79" i="3"/>
  <c r="I80" i="3"/>
  <c r="I81" i="3"/>
  <c r="I82" i="3"/>
  <c r="I83" i="3"/>
  <c r="I85" i="3"/>
  <c r="I86" i="3"/>
  <c r="I87" i="3"/>
  <c r="G3" i="3"/>
  <c r="H3" i="3" s="1"/>
  <c r="J3" i="3" s="1"/>
  <c r="G4" i="3"/>
  <c r="H4" i="3" s="1"/>
  <c r="G6" i="3"/>
  <c r="H6" i="3" s="1"/>
  <c r="G7" i="3"/>
  <c r="H7" i="3" s="1"/>
  <c r="G8" i="3"/>
  <c r="H8" i="3" s="1"/>
  <c r="G9" i="3"/>
  <c r="H9" i="3" s="1"/>
  <c r="G10" i="3"/>
  <c r="H10" i="3" s="1"/>
  <c r="G11" i="3"/>
  <c r="H11" i="3" s="1"/>
  <c r="J11" i="3" s="1"/>
  <c r="G12" i="3"/>
  <c r="H12" i="3" s="1"/>
  <c r="G13" i="3"/>
  <c r="H13" i="3" s="1"/>
  <c r="J13" i="3" s="1"/>
  <c r="G14" i="3"/>
  <c r="H14" i="3" s="1"/>
  <c r="G15" i="3"/>
  <c r="H15" i="3" s="1"/>
  <c r="G16" i="3"/>
  <c r="H16" i="3" s="1"/>
  <c r="J16" i="3" s="1"/>
  <c r="G17" i="3"/>
  <c r="H17" i="3" s="1"/>
  <c r="J17" i="3" s="1"/>
  <c r="G18" i="3"/>
  <c r="H18" i="3" s="1"/>
  <c r="G19" i="3"/>
  <c r="H19" i="3" s="1"/>
  <c r="J19" i="3" s="1"/>
  <c r="G20" i="3"/>
  <c r="H20" i="3" s="1"/>
  <c r="G21" i="3"/>
  <c r="H21" i="3" s="1"/>
  <c r="G22" i="3"/>
  <c r="H22" i="3" s="1"/>
  <c r="G23" i="3"/>
  <c r="H23" i="3" s="1"/>
  <c r="J23" i="3" s="1"/>
  <c r="G24" i="3"/>
  <c r="H24" i="3" s="1"/>
  <c r="J24" i="3" s="1"/>
  <c r="G25" i="3"/>
  <c r="H25" i="3" s="1"/>
  <c r="J25" i="3" s="1"/>
  <c r="G26" i="3"/>
  <c r="H26" i="3" s="1"/>
  <c r="G27" i="3"/>
  <c r="H27" i="3" s="1"/>
  <c r="J27" i="3" s="1"/>
  <c r="G28" i="3"/>
  <c r="H28" i="3" s="1"/>
  <c r="G29" i="3"/>
  <c r="H29" i="3" s="1"/>
  <c r="J29" i="3" s="1"/>
  <c r="G30" i="3"/>
  <c r="H30" i="3" s="1"/>
  <c r="J30" i="3" s="1"/>
  <c r="G31" i="3"/>
  <c r="H31" i="3" s="1"/>
  <c r="G32" i="3"/>
  <c r="H32" i="3" s="1"/>
  <c r="J32" i="3" s="1"/>
  <c r="G33" i="3"/>
  <c r="H33" i="3" s="1"/>
  <c r="G34" i="3"/>
  <c r="H34" i="3" s="1"/>
  <c r="G35" i="3"/>
  <c r="H35" i="3" s="1"/>
  <c r="G36" i="3"/>
  <c r="H36" i="3" s="1"/>
  <c r="G37" i="3"/>
  <c r="H37" i="3" s="1"/>
  <c r="J37" i="3" s="1"/>
  <c r="G38" i="3"/>
  <c r="H38" i="3" s="1"/>
  <c r="G39" i="3"/>
  <c r="H39" i="3" s="1"/>
  <c r="G40" i="3"/>
  <c r="H40" i="3" s="1"/>
  <c r="G41" i="3"/>
  <c r="H41" i="3" s="1"/>
  <c r="G42" i="3"/>
  <c r="H42" i="3" s="1"/>
  <c r="G43" i="3"/>
  <c r="H43" i="3" s="1"/>
  <c r="J43" i="3" s="1"/>
  <c r="G44" i="3"/>
  <c r="H44" i="3" s="1"/>
  <c r="G45" i="3"/>
  <c r="H45" i="3" s="1"/>
  <c r="G46" i="3"/>
  <c r="H46" i="3" s="1"/>
  <c r="G47" i="3"/>
  <c r="H47" i="3" s="1"/>
  <c r="J47" i="3" s="1"/>
  <c r="G48" i="3"/>
  <c r="H48" i="3" s="1"/>
  <c r="G49" i="3"/>
  <c r="H49" i="3" s="1"/>
  <c r="G50" i="3"/>
  <c r="H50" i="3" s="1"/>
  <c r="G51" i="3"/>
  <c r="H51" i="3" s="1"/>
  <c r="J51" i="3" s="1"/>
  <c r="G52" i="3"/>
  <c r="H52" i="3" s="1"/>
  <c r="J52" i="3" s="1"/>
  <c r="G53" i="3"/>
  <c r="H53" i="3" s="1"/>
  <c r="G54" i="3"/>
  <c r="H54" i="3" s="1"/>
  <c r="G55" i="3"/>
  <c r="H55" i="3" s="1"/>
  <c r="J55" i="3" s="1"/>
  <c r="G56" i="3"/>
  <c r="H56" i="3" s="1"/>
  <c r="G57" i="3"/>
  <c r="H57" i="3" s="1"/>
  <c r="G58" i="3"/>
  <c r="H58" i="3" s="1"/>
  <c r="G59" i="3"/>
  <c r="H59" i="3" s="1"/>
  <c r="J59" i="3" s="1"/>
  <c r="G60" i="3"/>
  <c r="H60" i="3" s="1"/>
  <c r="J60" i="3" s="1"/>
  <c r="G61" i="3"/>
  <c r="H61" i="3" s="1"/>
  <c r="J61" i="3" s="1"/>
  <c r="G62" i="3"/>
  <c r="H62" i="3" s="1"/>
  <c r="G63" i="3"/>
  <c r="H63" i="3" s="1"/>
  <c r="J63" i="3" s="1"/>
  <c r="G64" i="3"/>
  <c r="H64" i="3" s="1"/>
  <c r="G65" i="3"/>
  <c r="H65" i="3" s="1"/>
  <c r="G66" i="3"/>
  <c r="H66" i="3" s="1"/>
  <c r="G67" i="3"/>
  <c r="H67" i="3" s="1"/>
  <c r="G68" i="3"/>
  <c r="H68" i="3" s="1"/>
  <c r="G69" i="3"/>
  <c r="H69" i="3" s="1"/>
  <c r="G70" i="3"/>
  <c r="H70" i="3" s="1"/>
  <c r="G71" i="3"/>
  <c r="H71" i="3" s="1"/>
  <c r="J71" i="3" s="1"/>
  <c r="G72" i="3"/>
  <c r="H72" i="3" s="1"/>
  <c r="G73" i="3"/>
  <c r="H73" i="3" s="1"/>
  <c r="J73" i="3" s="1"/>
  <c r="G74" i="3"/>
  <c r="H74" i="3" s="1"/>
  <c r="J74" i="3" s="1"/>
  <c r="G75" i="3"/>
  <c r="H75" i="3" s="1"/>
  <c r="G76" i="3"/>
  <c r="H76" i="3" s="1"/>
  <c r="G77" i="3"/>
  <c r="H77" i="3" s="1"/>
  <c r="G78" i="3"/>
  <c r="H78" i="3" s="1"/>
  <c r="G79" i="3"/>
  <c r="H79" i="3" s="1"/>
  <c r="J79" i="3" s="1"/>
  <c r="G80" i="3"/>
  <c r="H80" i="3" s="1"/>
  <c r="J80" i="3" s="1"/>
  <c r="G81" i="3"/>
  <c r="H81" i="3" s="1"/>
  <c r="J81" i="3" s="1"/>
  <c r="G82" i="3"/>
  <c r="H82" i="3" s="1"/>
  <c r="G83" i="3"/>
  <c r="H83" i="3" s="1"/>
  <c r="J83" i="3" s="1"/>
  <c r="G84" i="3"/>
  <c r="H84" i="3" s="1"/>
  <c r="G85" i="3"/>
  <c r="H85" i="3" s="1"/>
  <c r="G86" i="3"/>
  <c r="H86" i="3" s="1"/>
  <c r="J86" i="3" s="1"/>
  <c r="G87" i="3"/>
  <c r="H87" i="3" s="1"/>
  <c r="J87" i="3" s="1"/>
  <c r="G2" i="3"/>
  <c r="H2" i="3" s="1"/>
  <c r="F84" i="3"/>
  <c r="I84" i="3" s="1"/>
  <c r="F75" i="3"/>
  <c r="I75" i="3" s="1"/>
  <c r="F72" i="3"/>
  <c r="I72" i="3" s="1"/>
  <c r="F70" i="3"/>
  <c r="I70" i="3" s="1"/>
  <c r="F69" i="3"/>
  <c r="I69" i="3" s="1"/>
  <c r="F68" i="3"/>
  <c r="I68" i="3" s="1"/>
  <c r="F67" i="3"/>
  <c r="I67" i="3" s="1"/>
  <c r="F66" i="3"/>
  <c r="I66" i="3" s="1"/>
  <c r="F65" i="3"/>
  <c r="I65" i="3" s="1"/>
  <c r="F58" i="3"/>
  <c r="I58" i="3" s="1"/>
  <c r="F56" i="3"/>
  <c r="I56" i="3" s="1"/>
  <c r="F53" i="3"/>
  <c r="I53" i="3" s="1"/>
  <c r="F50" i="3"/>
  <c r="I50" i="3" s="1"/>
  <c r="F49" i="3"/>
  <c r="I49" i="3" s="1"/>
  <c r="F48" i="3"/>
  <c r="I48" i="3" s="1"/>
  <c r="F46" i="3"/>
  <c r="I46" i="3" s="1"/>
  <c r="F45" i="3"/>
  <c r="I45" i="3" s="1"/>
  <c r="F42" i="3"/>
  <c r="I42" i="3" s="1"/>
  <c r="F41" i="3"/>
  <c r="I41" i="3" s="1"/>
  <c r="F40" i="3"/>
  <c r="I40" i="3" s="1"/>
  <c r="F31" i="3"/>
  <c r="I31" i="3" s="1"/>
  <c r="F22" i="3"/>
  <c r="I22" i="3" s="1"/>
  <c r="F20" i="3"/>
  <c r="I20" i="3" s="1"/>
  <c r="F18" i="3"/>
  <c r="I18" i="3" s="1"/>
  <c r="F15" i="3"/>
  <c r="I15" i="3" s="1"/>
  <c r="F14" i="3"/>
  <c r="I14" i="3" s="1"/>
  <c r="F12" i="3"/>
  <c r="I12" i="3" s="1"/>
  <c r="F10" i="3"/>
  <c r="I10" i="3" s="1"/>
  <c r="F9" i="3"/>
  <c r="I9" i="3" s="1"/>
  <c r="F7" i="3"/>
  <c r="I7" i="3" s="1"/>
  <c r="F6" i="3"/>
  <c r="I6" i="3" s="1"/>
  <c r="F2" i="3"/>
  <c r="I2" i="3" s="1"/>
  <c r="J77" i="3" l="1"/>
  <c r="J4" i="3"/>
  <c r="J82" i="3"/>
  <c r="J34" i="3"/>
  <c r="J78" i="3"/>
  <c r="J54" i="3"/>
  <c r="J42" i="3"/>
  <c r="J18" i="3"/>
  <c r="J6" i="3"/>
  <c r="J76" i="3"/>
  <c r="J39" i="3"/>
  <c r="J84" i="3"/>
  <c r="J72" i="3"/>
  <c r="J48" i="3"/>
  <c r="J36" i="3"/>
  <c r="J12" i="3"/>
  <c r="J70" i="3"/>
  <c r="J58" i="3"/>
  <c r="J33" i="3"/>
  <c r="J67" i="3"/>
  <c r="J31" i="3"/>
  <c r="J7" i="3"/>
  <c r="J66" i="3"/>
  <c r="J65" i="3"/>
  <c r="J53" i="3"/>
  <c r="J41" i="3"/>
  <c r="J2" i="3"/>
  <c r="J64" i="3"/>
  <c r="J40" i="3"/>
  <c r="J28" i="3"/>
  <c r="J75" i="3"/>
  <c r="J15" i="3"/>
  <c r="J62" i="3"/>
  <c r="J50" i="3"/>
  <c r="J38" i="3"/>
  <c r="J26" i="3"/>
  <c r="J14" i="3"/>
  <c r="J85" i="3"/>
  <c r="J49" i="3"/>
  <c r="J35" i="3"/>
  <c r="J46" i="3"/>
  <c r="J22" i="3"/>
  <c r="J10" i="3"/>
  <c r="J69" i="3"/>
  <c r="J57" i="3"/>
  <c r="J45" i="3"/>
  <c r="J21" i="3"/>
  <c r="J9" i="3"/>
  <c r="J68" i="3"/>
  <c r="J56" i="3"/>
  <c r="J44" i="3"/>
  <c r="J20" i="3"/>
  <c r="J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07EDD4-35BB-4F7F-A40C-87FB58A559B6}" keepAlive="1" name="Consulta - Table009 (Page 3)" description="Conexión a la consulta 'Table009 (Page 3)' en el libro." type="5" refreshedVersion="8" background="1" saveData="1">
    <dbPr connection="Provider=Microsoft.Mashup.OleDb.1;Data Source=$Workbook$;Location=&quot;Table009 (Page 3)&quot;;Extended Properties=&quot;&quot;" command="SELECT * FROM [Table009 (Page 3)]"/>
  </connection>
  <connection id="2" xr16:uid="{E87AC062-A58E-414E-BF95-2E2622486A05}" keepAlive="1" name="Consulta - Table011 (Page 4)" description="Conexión a la consulta 'Table011 (Page 4)' en el libro." type="5" refreshedVersion="8" background="1" saveData="1">
    <dbPr connection="Provider=Microsoft.Mashup.OleDb.1;Data Source=$Workbook$;Location=&quot;Table011 (Page 4)&quot;;Extended Properties=&quot;&quot;" command="SELECT * FROM [Table011 (Page 4)]"/>
  </connection>
  <connection id="3" xr16:uid="{B9F20F6D-C422-46F0-95F2-550CF101417B}" keepAlive="1" name="Consulta - Table012 (Page 4)" description="Conexión a la consulta 'Table012 (Page 4)' en el libro." type="5" refreshedVersion="8" background="1" saveData="1">
    <dbPr connection="Provider=Microsoft.Mashup.OleDb.1;Data Source=$Workbook$;Location=&quot;Table012 (Page 4)&quot;;Extended Properties=&quot;&quot;" command="SELECT * FROM [Table012 (Page 4)]"/>
  </connection>
  <connection id="4" xr16:uid="{D864360F-FDAD-4D2A-A9FB-29689C550635}" keepAlive="1" name="Consulta - Table013 (Page 5)" description="Conexión a la consulta 'Table013 (Page 5)' en el libro." type="5" refreshedVersion="8" background="1" saveData="1">
    <dbPr connection="Provider=Microsoft.Mashup.OleDb.1;Data Source=$Workbook$;Location=&quot;Table013 (Page 5)&quot;;Extended Properties=&quot;&quot;" command="SELECT * FROM [Table013 (Page 5)]"/>
  </connection>
</connections>
</file>

<file path=xl/sharedStrings.xml><?xml version="1.0" encoding="utf-8"?>
<sst xmlns="http://schemas.openxmlformats.org/spreadsheetml/2006/main" count="443" uniqueCount="191">
  <si>
    <t>Name</t>
  </si>
  <si>
    <t>Abamectin</t>
  </si>
  <si>
    <t>Chlorantraniliprole</t>
  </si>
  <si>
    <t>Chromafenozide</t>
  </si>
  <si>
    <t>Cypermethrin</t>
  </si>
  <si>
    <t>Fenoxycarb</t>
  </si>
  <si>
    <t>Fipronil</t>
  </si>
  <si>
    <t>Flubendiamide</t>
  </si>
  <si>
    <t>Flufenoxuron</t>
  </si>
  <si>
    <t>Indoxacarb</t>
  </si>
  <si>
    <t>Lufenuron</t>
  </si>
  <si>
    <t>Metaflumizone</t>
  </si>
  <si>
    <t>Methoxyfenozide</t>
  </si>
  <si>
    <t>Novaluron</t>
  </si>
  <si>
    <t>Noviflumuron</t>
  </si>
  <si>
    <t>Tebufenozide</t>
  </si>
  <si>
    <t>Tebufenpyrad</t>
  </si>
  <si>
    <t>Teflubenzuron</t>
  </si>
  <si>
    <t>Tolfenpyrad</t>
  </si>
  <si>
    <t>Acetamiprid</t>
  </si>
  <si>
    <t>Clothianidin</t>
  </si>
  <si>
    <t>Cyantraniliprole</t>
  </si>
  <si>
    <t>Dinotefuran</t>
  </si>
  <si>
    <t>Flonicamid</t>
  </si>
  <si>
    <t>Imidacloprid</t>
  </si>
  <si>
    <t>Nitenpyram</t>
  </si>
  <si>
    <t>Pymetrozine</t>
  </si>
  <si>
    <t>Pyrifluquinazon</t>
  </si>
  <si>
    <t>Spirotetramat</t>
  </si>
  <si>
    <t>Sulfoxaflor</t>
  </si>
  <si>
    <t>Thiacloprid</t>
  </si>
  <si>
    <t>Thiamethoxam</t>
  </si>
  <si>
    <t>Acibenzolar-S-methyl</t>
  </si>
  <si>
    <t>Azoxystrobin</t>
  </si>
  <si>
    <t>Benzovindiflupyr</t>
  </si>
  <si>
    <t>Bixafen</t>
  </si>
  <si>
    <t>Boscalid</t>
  </si>
  <si>
    <t>Carbendazim</t>
  </si>
  <si>
    <t>Carboxin</t>
  </si>
  <si>
    <t>Cyproconazole</t>
  </si>
  <si>
    <t>Cyprodinil</t>
  </si>
  <si>
    <t>Epoxiconazole</t>
  </si>
  <si>
    <t>Fenbuconazole</t>
  </si>
  <si>
    <t>Fluopyram</t>
  </si>
  <si>
    <t>Fluoxastrobin</t>
  </si>
  <si>
    <t>Fluquinconazole</t>
  </si>
  <si>
    <t>Flutolanil</t>
  </si>
  <si>
    <t>Fluxapyroxad</t>
  </si>
  <si>
    <t>Iprodione</t>
  </si>
  <si>
    <t>Isopyrazam</t>
  </si>
  <si>
    <t>Penflufen</t>
  </si>
  <si>
    <t>Picoxystrobin</t>
  </si>
  <si>
    <t>Prochloraz</t>
  </si>
  <si>
    <t>Propiconazole</t>
  </si>
  <si>
    <t>Prothioconazole</t>
  </si>
  <si>
    <t>Sedaxane</t>
  </si>
  <si>
    <t>Tebuconazole</t>
  </si>
  <si>
    <t>Thiophanate-methyl</t>
  </si>
  <si>
    <t>Trifloxystrobin</t>
  </si>
  <si>
    <t>2,4-D</t>
  </si>
  <si>
    <t>Aminopyralid</t>
  </si>
  <si>
    <t>Bispyribac-sodium</t>
  </si>
  <si>
    <t>Clopyralid</t>
  </si>
  <si>
    <t>Dicamba</t>
  </si>
  <si>
    <t>Fluroxypyr</t>
  </si>
  <si>
    <t>Fluroxypyr-meptyl</t>
  </si>
  <si>
    <t>Halauxifen</t>
  </si>
  <si>
    <t>Halauxifen-methyl</t>
  </si>
  <si>
    <t>Imazamox</t>
  </si>
  <si>
    <t>Mesosulfuron-methyl</t>
  </si>
  <si>
    <t>Mesotrione</t>
  </si>
  <si>
    <t>Pinoxaden</t>
  </si>
  <si>
    <t>Pyrasulfotole</t>
  </si>
  <si>
    <t>Pyroxsulam</t>
  </si>
  <si>
    <t>Quinclorac</t>
  </si>
  <si>
    <t>Thiencarbazone-methyl</t>
  </si>
  <si>
    <t>Tralkoxydim</t>
  </si>
  <si>
    <t>Tribenuron-methyl</t>
  </si>
  <si>
    <t>Atrazine</t>
  </si>
  <si>
    <t>Bentazone</t>
  </si>
  <si>
    <t>Bromoxynil</t>
  </si>
  <si>
    <t>Carfentrazone-ethyl</t>
  </si>
  <si>
    <t>Diflufenican</t>
  </si>
  <si>
    <t>Metribuzin</t>
  </si>
  <si>
    <t>SMILES</t>
  </si>
  <si>
    <t>Solubility (ppm)</t>
  </si>
  <si>
    <t>logKow</t>
  </si>
  <si>
    <t>MP (°C)</t>
  </si>
  <si>
    <t>Type</t>
  </si>
  <si>
    <t>CC[C@H](C)[C@@H]1[C@H](C=C[C@@]2(O1)C[C@@H]3C[C@H](O2)C/C=C(/[C@H]([C@H](/C=C/C=C/4\CO[C@H]5[C@@]4([C@@H](C=C([C@H]5O)C)C(=O)O3)O)C)O[C@H]6C[C@@H]([C@H]([C@@H](O6)C)O[C@H]7C[C@@H]([C@H]([C@@H](O7)C)O)OC)OC)\C)C.C[C@H]1/C=C/C=C/2\CO[C@H]3[C@@]2([C@@H](C=C([C@H]3O)C)C(=O)O[C@H]4C[C@@H](C/C=C(/[C@H]1O[C@H]5C[C@@H]([C@H]([C@@H](O5)C)O[C@H]6C[C@@H]([C@H]([C@@H](O6)C)O)OC)OC)\C)O[C@]7(C4)C=C[C@@H]([C@H](O7)C(C)C)C)O</t>
  </si>
  <si>
    <t>C1=CC(=C(C(=C1)F)C(=O)NC(=O)NC2=C(C=C(C=C2)OC3=C(C=C(C=C3)C(F)(F)F)Cl)F)F</t>
  </si>
  <si>
    <t>CC[C@H]1CCC[C@@H]([C@H](C(=O)C2=C[C@@H]3[C@H](C2CC(=O)O1)CC[C@H]4[C@H]3CC(C4)O[C@H]5[C@@H]([C@@H]([C@H]([C@@H](O5)C)OC)OCC)OC)C)O[C@H]6CC[C@@H]([C@H](O6)C)N(C)C</t>
  </si>
  <si>
    <t>CCC1=CC=C(C=C1)C(=O)NN(C(=O)C2=CC(=CC(=C2)C)C)C(C)(C)C</t>
  </si>
  <si>
    <t>CCC1=NN(C(=C1Cl)C(=O)NCC2=CC=C(C=C2)C(C)(C)C)C</t>
  </si>
  <si>
    <t>CO/C=C(\C1=CC=CC=C1OC2=NC=NC(=C2)OC3=CC=CC=C3C#N)/C(=O)OC</t>
  </si>
  <si>
    <t>CN1C=C(C(=N1)C(F)F)C(=O)NC2=CC=CC3=C2[C@@H]4CC[C@H]3C4=C(Cl)Cl</t>
  </si>
  <si>
    <t>CN1C=C(C(=N1)C(F)F)C(=O)NC2=C(C=C(C=C2)F)C3=CC(=C(C=C3)Cl)Cl</t>
  </si>
  <si>
    <t>CC(C1CC1)C(CN2C=NC=N2)(C3=CC=C(C=C3)Cl)O</t>
  </si>
  <si>
    <t>CC(C)NC(=O)N1CC(=O)N(C1=O)C2=CC(=CC(=C2)Cl)Cl</t>
  </si>
  <si>
    <t>CC1=NN(C(=C1C(=O)NC2=CC=CC=C2C(C)CC(C)C)F)C</t>
  </si>
  <si>
    <t>COC(=O)NC(=S)NC1=CC=CC=C1NC(=S)NC(=O)OC</t>
  </si>
  <si>
    <t>COC1=CC(=NC(=N1)OC2=C(C(=CC=C2)OC3=NC(=CC(=N3)OC)OC)C(=O)[O-])OC.[Na+]</t>
  </si>
  <si>
    <t>C(C(=O)O)OC1=NC(=C(C(=C1Cl)N)Cl)F</t>
  </si>
  <si>
    <t>CCCCCCC(C)OC(=O)COC1=NC(=C(C(=C1Cl)N)Cl)F</t>
  </si>
  <si>
    <t>COC1=C(C=CC(=C1F)C2=NC(=C(C(=C2)N)Cl)C(=O)O)Cl</t>
  </si>
  <si>
    <t>CC(C)C1(C(=O)NC(=N1)C2=C(C=C(C=N2)COC)C(=O)O)C</t>
  </si>
  <si>
    <t>COC1=CC(=NC(=N1)NC(=O)NS(=O)(=O)C2=C(C=CC(=C2)CNS(=O)(=O)C)C(=O)OC)OC</t>
  </si>
  <si>
    <t>CC/C(=N\OCC)/C1=C(CC(CC1=O)C2=C(C=C(C=C2C)C)C)O</t>
  </si>
  <si>
    <t>CC(C)N1C(=O)C2=CC=CC=C2NS1(=O)=O</t>
  </si>
  <si>
    <t>C1=C(C=C(C(=C1Br)O)Br)C#N</t>
  </si>
  <si>
    <t>C1=CC(=CC(=C1)OC2=C(C=CC=N2)C(=O)NC3=C(C=C(C=C3)F)F)C(F)(F)F</t>
  </si>
  <si>
    <t>CC(C)(C)C1=NN=C(N(C1=O)N)SC</t>
  </si>
  <si>
    <t>CC[C@H](C)[C@@H]1[C@H](C=C[C@@]2(O1)C[C@@H]3C[C@H](O2)C/C=C(/[C@H]([C@H](/C=C/C=C/4\CO[C@H]5[C@@]4([C@@H](C=C([C@H]5O)C)C(=O)O3)O)C)O[C@H]6C[C@@H]([C@H]([C@@H](O6)C)O[C@H]7C[C@@H]([C@H]([C@@H](O7)C)NC)OC)OC)\C)C.C1=CC=C(C=C1)C(=O)O</t>
  </si>
  <si>
    <t>Emamectin benzoate</t>
  </si>
  <si>
    <t>C1=CC(=C(C=C1Cl)Cl)OCC(=O)O</t>
  </si>
  <si>
    <t>Spinetoram</t>
  </si>
  <si>
    <t>Spinosad</t>
  </si>
  <si>
    <t>C1=CN=CC(=C1C(F)(F)F)C(=O)NCC#N</t>
  </si>
  <si>
    <t>CC1=CC(=CC(=C1NC(=O)C2=CC(=NN2C3=C(C=CC=N3)Cl)Br)C(=O)NC)Cl</t>
  </si>
  <si>
    <t>CC1=CC(=CC(=C1)C(=O)N(C(C)(C)C)NC(=O)C2=C(C3=C(C=C2)OCCC3)C)C</t>
  </si>
  <si>
    <t>CC1(C(C1C(=O)OC(C#N)C2=CC(=CC=C2)OC3=CC=CC=C3)C=C(Cl)Cl)C</t>
  </si>
  <si>
    <t>CCOC(=O)NCCOC1=CC=C(C=C1)OC2=CC=CC=C2</t>
  </si>
  <si>
    <t>C1=C(C=C(C(=C1Cl)N2C(=C(C(=N2)C#N)S(=O)C(F)(F)F)N)Cl)C(F)(F)F</t>
  </si>
  <si>
    <t>CC1=C(C=CC(=C1)C(C(F)(F)F)(C(F)(F)F)F)NC(=O)C2=C(C(=CC=C2)I)C(=O)NC(C)(C)CS(=O)(=O)C</t>
  </si>
  <si>
    <t>COC(=O)[C@]12CC3=C(C1=NN(CO2)C(=O)N(C4=CC=C(C=C4)OC(F)(F)F)C(=O)OC)C=CC(=C3)Cl</t>
  </si>
  <si>
    <t>C1=CC(=C(C(=C1)F)C(=O)NC(=O)NC2=CC(=C(C=C2Cl)OC(C(C(F)(F)F)F)(F)F)Cl)F</t>
  </si>
  <si>
    <t>C1=CC(=CC(=C1)C(F)(F)F)/C(=N/NC(=O)NC2=CC=C(C=C2)OC(F)(F)F)/CC3=CC=C(C=C3)C#N</t>
  </si>
  <si>
    <t>CC1=CC(=CC(=C1)C(=O)N(C(C)(C)C)NC(=O)C2=C(C(=CC=C2)OC)C)C</t>
  </si>
  <si>
    <t>C1=CC(=C(C(=C1)F)C(=O)NC(=O)NC2=CC(=C(C=C2)OC(C(OC(F)(F)F)F)(F)F)Cl)F</t>
  </si>
  <si>
    <t>C1=CC(=C(C(=C1)F)C(=O)NC(=O)NC2=CC(=C(C(=C2F)Cl)OC(C(C(F)(F)F)F)(F)F)Cl)F</t>
  </si>
  <si>
    <t>CC[C@H]1CCC[C@@H]([C@H](C(=O)C2=C[C@H]3[C@@H]4C[C@@H](C[C@H]4C=C[C@H]3[C@@H]2CC(=O)O1)O[C@H]5[C@@H]([C@@H]([C@H]([C@@H](O5)C)OC)OC)OC)C)O[C@H]6CC[C@@H]([C@H](O6)C)N(C)C.CC[C@H]1CCC[C@@H]([C@H](C(=O)C2=C[C@H]3[C@@H]4C[C@@H](C[C@H]4C(=C[C@H]3[C@@H]2CC(=O)O1)C)O[C@H]5[C@@H]([C@@H]([C@H]([C@@H](O5)C)OC)OC)OC)C)O[C@H]6CC[C@@H]([C@H](O6)C)N(C)C</t>
  </si>
  <si>
    <t>C1=CC(=C(C(=C1)F)C(=O)NC(=O)NC2=CC(=C(C(=C2F)Cl)F)Cl)F</t>
  </si>
  <si>
    <t>CCC1=NN(C(=C1Cl)C(=O)NCC2=CC=C(C=C2)OC3=CC=C(C=C3)C)C</t>
  </si>
  <si>
    <t>CC(=NC#N)N(C)CC1=CN=C(C=C1)Cl</t>
  </si>
  <si>
    <t>CN/C(=N\[N+](=O)[O-])/NCC1=CN=C(S1)Cl</t>
  </si>
  <si>
    <t>CC1=CC(=CC(=C1NC(=O)C2=CC(=NN2C3=C(C=CC=N3)Cl)Br)C(=O)NC)C#N</t>
  </si>
  <si>
    <t>CN=C(NCC1CCOC1)N[N+](=O)[O-]</t>
  </si>
  <si>
    <t>C1CN(/C(=N/[N+](=O)[O-])/N1)CC2=CN=C(C=C2)Cl</t>
  </si>
  <si>
    <t>CCN(CC1=CN=C(C=C1)Cl)/C(=C/[N+](=O)[O-])/NC</t>
  </si>
  <si>
    <t>CC1=NNC(=O)N(C1)/N=C/C2=CN=CC=C2</t>
  </si>
  <si>
    <t>CC(=O)N1C2=C(CN(C1=O)NCC3=CN=CC=C3)C=C(C=C2)C(C(F)(F)F)(C(F)(F)F)F</t>
  </si>
  <si>
    <t>CC(C1=CN=C(C=C1)C(F)(F)F)S(=NC#N)(=O)C</t>
  </si>
  <si>
    <t>C1CSC(=NC#N)N1CC2=CN=C(C=C2)Cl</t>
  </si>
  <si>
    <t>CN\1COCN(/C1=N/[N+](=O)[O-])CC2=CN=C(S2)Cl</t>
  </si>
  <si>
    <t>CSC(=O)C1=C2C(=CC=C1)N=NS2</t>
  </si>
  <si>
    <t>COC(=O)NC1=NC2=CC=CC=C2N1</t>
  </si>
  <si>
    <t>CC1=C(SCCO1)C(=O)NC2=CC=CC=C2</t>
  </si>
  <si>
    <t>CC1=CC(=NC(=N1)NC2=CC=CC=C2)C3CC3</t>
  </si>
  <si>
    <t>C1=CC=C(C(=C1)[C@@H]2[C@@](O2)(CN3C=NC=N3)C4=CC=C(C=C4)F)Cl</t>
  </si>
  <si>
    <t>C1=CC=C(C=C1)C(CCC2=CC=C(C=C2)Cl)(CN3C=NC=N3)C#N</t>
  </si>
  <si>
    <t>C1=CC=C(C(=C1)C(=O)NCCC2=C(C=C(C=N2)C(F)(F)F)Cl)C(F)(F)F</t>
  </si>
  <si>
    <t>CO/N=C(\C1=CC=CC=C1OC2=C(C(=NC=N2)OC3=CC=CC=C3Cl)F)/C4=NOCCO4</t>
  </si>
  <si>
    <t>C1=CC2=C(C=C1F)C(=O)N(C(=N2)N3C=NC=N3)C4=C(C=C(C=C4)Cl)Cl</t>
  </si>
  <si>
    <t>CC(C)OC1=CC=CC(=C1)NC(=O)C2=CC=CC=C2C(F)(F)F</t>
  </si>
  <si>
    <t>CN1C=C(C(=N1)C(F)F)C(=O)NC2=CC=CC=C2C3=CC(=C(C(=C3)F)F)F</t>
  </si>
  <si>
    <t>CC(C)C1C2CCC1C3=C2C=CC=C3NC(=O)C4=CN(N=C4C(F)F)C</t>
  </si>
  <si>
    <t>CO/C=C(\C1=CC=CC=C1COC2=CC=CC(=N2)C(F)(F)F)/C(=O)OC</t>
  </si>
  <si>
    <t>CCCN(CCOC1=C(C=C(C=C1Cl)Cl)Cl)C(=O)N2C=CN=C2</t>
  </si>
  <si>
    <t>CCCC1COC(O1)(CN2C=NC=N2)C3=C(C=C(C=C3)Cl)Cl</t>
  </si>
  <si>
    <t>C1CC1(C(CC2=CC=CC=C2Cl)(CN3C(=S)N=CN3)O)Cl</t>
  </si>
  <si>
    <t>CN1C=C(C(=N1)C(F)F)C(=O)NC2=CC=CC=C2C3CC3C4CC4</t>
  </si>
  <si>
    <t>CC(C)(C)C(CCC1=CC=C(C=C1)Cl)(CN2C=NC=N2)O</t>
  </si>
  <si>
    <t>C/C(=N\OCC1=CC=CC=C1/C(=N\OC)/C(=O)OC)/C2=CC(=CC=C2)C(F)(F)F</t>
  </si>
  <si>
    <t>C1=C(C(=C(N=C1Cl)C(=O)O)Cl)N</t>
  </si>
  <si>
    <t>C1=CC(=NC(=C1Cl)C(=O)O)Cl</t>
  </si>
  <si>
    <t>COC1=C(C=CC(=C1C(=O)O)Cl)Cl</t>
  </si>
  <si>
    <t>COC1=C(C=CC(=C1F)C2=NC(=C(C(=C2)N)Cl)C(=O)OC)Cl</t>
  </si>
  <si>
    <t>CS(=O)(=O)C1=CC(=C(C=C1)C(=O)C2C(=O)CCCC2=O)[N+](=O)[O-]</t>
  </si>
  <si>
    <t>CCC1=CC(=CC(=C1C2=C(N3CCOCCN3C2=O)OC(=O)C(C)(C)C)CC)C</t>
  </si>
  <si>
    <t>CC1=C(C(=O)N(N1)C)C(=O)C2=C(C=C(C=C2)C(F)(F)F)S(=O)(=O)C</t>
  </si>
  <si>
    <t>COC1=CC(=NC2=NC(=NN12)NS(=O)(=O)C3=C(C=CN=C3OC)C(F)(F)F)OC</t>
  </si>
  <si>
    <t>C1=CC(=C(C2=NC=C(C=C21)Cl)C(=O)O)Cl</t>
  </si>
  <si>
    <t>CC1=C(C(=CS1)C(=O)OC)S(=O)(=O)NC(=O)N2C(=O)N(C(=N2)OC)C</t>
  </si>
  <si>
    <t>CC1=NC(=NC(=N1)OC)N(C)C(=O)NS(=O)(=O)C2=CC=CC=C2C(=O)OC</t>
  </si>
  <si>
    <t>CCNC1=NC(=NC(=N1)Cl)NC(C)C</t>
  </si>
  <si>
    <t>CCOC(=O)C(CC1=CC(=C(C=C1Cl)F)N2C(=O)N(C(=N2)C)C(F)F)Cl</t>
  </si>
  <si>
    <t>Total Molweight</t>
  </si>
  <si>
    <t>CCOC(=O)OC1=C(C(=O)NC12CCC(CC2)OC)C3=C(C=CC(=C3)C)C</t>
  </si>
  <si>
    <t>C1=CC=C(C(=C1)C2=CC=C(C=C2)Cl)NC(=O)C3=C(N=CC=C3)Cl</t>
  </si>
  <si>
    <t>S (mol/L)</t>
  </si>
  <si>
    <t>logS</t>
  </si>
  <si>
    <t>logS_GSE</t>
  </si>
  <si>
    <t>GSESolver prediction</t>
  </si>
  <si>
    <t>Do not use GSE</t>
  </si>
  <si>
    <t>Use GSE</t>
  </si>
  <si>
    <t>Chewing Pest Insecticides</t>
  </si>
  <si>
    <t>Sap-Feeding Pest Insecticides</t>
  </si>
  <si>
    <t>Fungicides</t>
  </si>
  <si>
    <t>Post-Emergency Herbicides</t>
  </si>
  <si>
    <t>DlogS</t>
  </si>
  <si>
    <t>GSESolver prediction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</si>
</sst>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21212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D4EE8-2AF1-42DE-8910-A8A6E1BAD41F}">
  <dimension ref="A1:M87"/>
  <sheetViews>
    <sheetView tabSelected="1" topLeftCell="D64" workbookViewId="0">
      <selection activeCell="L2" sqref="L2"/>
    </sheetView>
  </sheetViews>
  <sheetFormatPr defaultColWidth="11.42578125" defaultRowHeight="15" x14ac:dyDescent="0.25"/>
  <cols>
    <col min="1" max="1" width="17.5703125" style="1" bestFit="1" customWidth="1"/>
    <col min="2" max="3" width="38.85546875" style="1" customWidth="1"/>
    <col min="4" max="4" width="13.140625" style="1" bestFit="1" customWidth="1"/>
    <col min="5" max="6" width="11.5703125" style="1"/>
    <col min="7" max="7" width="12" style="1" bestFit="1" customWidth="1"/>
    <col min="8" max="10" width="11.42578125" style="1"/>
    <col min="11" max="11" width="19.28515625" style="1" bestFit="1" customWidth="1"/>
    <col min="12" max="12" width="34.7109375" style="1" bestFit="1" customWidth="1"/>
    <col min="13" max="16384" width="11.42578125" style="1"/>
  </cols>
  <sheetData>
    <row r="1" spans="1:13" x14ac:dyDescent="0.25">
      <c r="A1" s="1" t="s">
        <v>0</v>
      </c>
      <c r="B1" s="1" t="s">
        <v>84</v>
      </c>
      <c r="C1" s="1" t="s">
        <v>176</v>
      </c>
      <c r="D1" s="1" t="s">
        <v>85</v>
      </c>
      <c r="E1" s="1" t="s">
        <v>86</v>
      </c>
      <c r="F1" s="1" t="s">
        <v>87</v>
      </c>
      <c r="G1" s="1" t="s">
        <v>179</v>
      </c>
      <c r="H1" s="1" t="s">
        <v>180</v>
      </c>
      <c r="I1" s="1" t="s">
        <v>181</v>
      </c>
      <c r="J1" s="1" t="s">
        <v>189</v>
      </c>
      <c r="K1" s="1" t="s">
        <v>182</v>
      </c>
      <c r="L1" s="1" t="s">
        <v>190</v>
      </c>
      <c r="M1" s="1" t="s">
        <v>88</v>
      </c>
    </row>
    <row r="2" spans="1:13" x14ac:dyDescent="0.25">
      <c r="A2" s="1" t="s">
        <v>1</v>
      </c>
      <c r="B2" s="1" t="s">
        <v>89</v>
      </c>
      <c r="C2" s="1">
        <v>1732.14</v>
      </c>
      <c r="D2" s="1">
        <v>19</v>
      </c>
      <c r="E2" s="1">
        <v>4.4000000000000004</v>
      </c>
      <c r="F2" s="1">
        <f>(162+169)/2</f>
        <v>165.5</v>
      </c>
      <c r="G2" s="1">
        <f>D2*(1/1000)*(1/C2)</f>
        <v>1.0969090258293208E-5</v>
      </c>
      <c r="H2" s="1">
        <f>ROUND(LOG10(G2),2)</f>
        <v>-4.96</v>
      </c>
      <c r="I2" s="1">
        <f>ROUND(0.5-0.01*(F2-25)-E2,2)</f>
        <v>-5.31</v>
      </c>
      <c r="J2" s="1">
        <f>ABS(H2-I2)</f>
        <v>0.34999999999999964</v>
      </c>
      <c r="K2" s="1" t="s">
        <v>183</v>
      </c>
      <c r="L2" t="s">
        <v>183</v>
      </c>
      <c r="M2" s="1" t="s">
        <v>185</v>
      </c>
    </row>
    <row r="3" spans="1:13" x14ac:dyDescent="0.25">
      <c r="A3" s="1" t="s">
        <v>2</v>
      </c>
      <c r="B3" s="1" t="s">
        <v>118</v>
      </c>
      <c r="C3" s="1">
        <v>483.15199999999999</v>
      </c>
      <c r="D3" s="1">
        <v>2.5</v>
      </c>
      <c r="E3" s="1">
        <v>2.76</v>
      </c>
      <c r="F3" s="1">
        <v>209</v>
      </c>
      <c r="G3" s="1">
        <f t="shared" ref="G3:G66" si="0">D3*(1/1000)*(1/C3)</f>
        <v>5.1743550683842768E-6</v>
      </c>
      <c r="H3" s="1">
        <f t="shared" ref="H3:H66" si="1">ROUND(LOG10(G3),2)</f>
        <v>-5.29</v>
      </c>
      <c r="I3" s="1">
        <f t="shared" ref="I3:I66" si="2">ROUND(0.5-0.01*(F3-25)-E3,2)</f>
        <v>-4.0999999999999996</v>
      </c>
      <c r="J3" s="1">
        <f t="shared" ref="J3:J66" si="3">ABS(H3-I3)</f>
        <v>1.1900000000000004</v>
      </c>
      <c r="K3" s="1" t="s">
        <v>183</v>
      </c>
      <c r="L3" t="s">
        <v>183</v>
      </c>
      <c r="M3" s="1" t="s">
        <v>185</v>
      </c>
    </row>
    <row r="4" spans="1:13" x14ac:dyDescent="0.25">
      <c r="A4" s="1" t="s">
        <v>3</v>
      </c>
      <c r="B4" s="1" t="s">
        <v>119</v>
      </c>
      <c r="C4" s="1">
        <v>394.51299999999998</v>
      </c>
      <c r="D4" s="1">
        <v>2.2000000000000002</v>
      </c>
      <c r="E4" s="1">
        <v>2.7</v>
      </c>
      <c r="F4" s="1">
        <v>186</v>
      </c>
      <c r="G4" s="1">
        <f t="shared" si="0"/>
        <v>5.5764955780924839E-6</v>
      </c>
      <c r="H4" s="1">
        <f t="shared" si="1"/>
        <v>-5.25</v>
      </c>
      <c r="I4" s="1">
        <f t="shared" si="2"/>
        <v>-3.81</v>
      </c>
      <c r="J4" s="1">
        <f t="shared" si="3"/>
        <v>1.44</v>
      </c>
      <c r="K4" s="1" t="s">
        <v>184</v>
      </c>
      <c r="L4" t="s">
        <v>184</v>
      </c>
      <c r="M4" s="1" t="s">
        <v>185</v>
      </c>
    </row>
    <row r="5" spans="1:13" x14ac:dyDescent="0.25">
      <c r="A5" s="1" t="s">
        <v>4</v>
      </c>
      <c r="B5" s="1" t="s">
        <v>120</v>
      </c>
      <c r="C5" s="1">
        <v>416.303</v>
      </c>
      <c r="D5" s="1">
        <v>1.4</v>
      </c>
      <c r="E5" s="1">
        <v>6.94</v>
      </c>
      <c r="F5" s="1">
        <v>81</v>
      </c>
      <c r="G5" s="1">
        <f>D5*(1/1000)*(1/C5)</f>
        <v>3.3629351698162158E-6</v>
      </c>
      <c r="H5" s="1">
        <f t="shared" si="1"/>
        <v>-5.47</v>
      </c>
      <c r="I5" s="1">
        <f t="shared" si="2"/>
        <v>-7</v>
      </c>
      <c r="J5" s="1">
        <f t="shared" si="3"/>
        <v>1.5300000000000002</v>
      </c>
      <c r="K5" s="1" t="s">
        <v>183</v>
      </c>
      <c r="L5" t="s">
        <v>183</v>
      </c>
      <c r="M5" s="1" t="s">
        <v>185</v>
      </c>
    </row>
    <row r="6" spans="1:13" x14ac:dyDescent="0.25">
      <c r="A6" s="1" t="s">
        <v>113</v>
      </c>
      <c r="B6" s="1" t="s">
        <v>112</v>
      </c>
      <c r="C6" s="1">
        <v>1008.25</v>
      </c>
      <c r="D6" s="1">
        <v>321</v>
      </c>
      <c r="E6" s="1">
        <v>5</v>
      </c>
      <c r="F6" s="1">
        <f>AVERAGE(141,146)</f>
        <v>143.5</v>
      </c>
      <c r="G6" s="1">
        <f t="shared" si="0"/>
        <v>3.1837341929085052E-4</v>
      </c>
      <c r="H6" s="1">
        <f t="shared" si="1"/>
        <v>-3.5</v>
      </c>
      <c r="I6" s="1">
        <f t="shared" si="2"/>
        <v>-5.69</v>
      </c>
      <c r="J6" s="1">
        <f t="shared" si="3"/>
        <v>2.1900000000000004</v>
      </c>
      <c r="K6" s="1" t="s">
        <v>183</v>
      </c>
      <c r="L6" t="s">
        <v>183</v>
      </c>
      <c r="M6" s="1" t="s">
        <v>185</v>
      </c>
    </row>
    <row r="7" spans="1:13" x14ac:dyDescent="0.25">
      <c r="A7" s="1" t="s">
        <v>5</v>
      </c>
      <c r="B7" s="1" t="s">
        <v>121</v>
      </c>
      <c r="C7" s="1">
        <v>301.34100000000001</v>
      </c>
      <c r="D7" s="1">
        <v>4</v>
      </c>
      <c r="E7" s="1">
        <v>4.07</v>
      </c>
      <c r="F7" s="1">
        <f>AVERAGE(53,54)</f>
        <v>53.5</v>
      </c>
      <c r="G7" s="1">
        <f t="shared" si="0"/>
        <v>1.3273998559771156E-5</v>
      </c>
      <c r="H7" s="1">
        <f t="shared" si="1"/>
        <v>-4.88</v>
      </c>
      <c r="I7" s="1">
        <f t="shared" si="2"/>
        <v>-3.86</v>
      </c>
      <c r="J7" s="1">
        <f t="shared" si="3"/>
        <v>1.02</v>
      </c>
      <c r="K7" s="1" t="s">
        <v>184</v>
      </c>
      <c r="L7" t="s">
        <v>184</v>
      </c>
      <c r="M7" s="1" t="s">
        <v>185</v>
      </c>
    </row>
    <row r="8" spans="1:13" x14ac:dyDescent="0.25">
      <c r="A8" s="1" t="s">
        <v>6</v>
      </c>
      <c r="B8" s="1" t="s">
        <v>122</v>
      </c>
      <c r="C8" s="1">
        <v>437.15100000000001</v>
      </c>
      <c r="D8" s="1">
        <v>1.8</v>
      </c>
      <c r="E8" s="1">
        <v>4</v>
      </c>
      <c r="F8" s="1">
        <v>203</v>
      </c>
      <c r="G8" s="1">
        <f t="shared" si="0"/>
        <v>4.117570358983509E-6</v>
      </c>
      <c r="H8" s="1">
        <f t="shared" si="1"/>
        <v>-5.39</v>
      </c>
      <c r="I8" s="1">
        <f t="shared" si="2"/>
        <v>-5.28</v>
      </c>
      <c r="J8" s="1">
        <f t="shared" si="3"/>
        <v>0.10999999999999943</v>
      </c>
      <c r="K8" s="1" t="s">
        <v>183</v>
      </c>
      <c r="L8" t="s">
        <v>183</v>
      </c>
      <c r="M8" s="1" t="s">
        <v>185</v>
      </c>
    </row>
    <row r="9" spans="1:13" x14ac:dyDescent="0.25">
      <c r="A9" s="1" t="s">
        <v>7</v>
      </c>
      <c r="B9" s="1" t="s">
        <v>123</v>
      </c>
      <c r="C9" s="1">
        <v>682.39</v>
      </c>
      <c r="D9" s="1">
        <v>1</v>
      </c>
      <c r="E9" s="1">
        <v>4.2</v>
      </c>
      <c r="F9" s="1">
        <f>AVERAGE(217,220)</f>
        <v>218.5</v>
      </c>
      <c r="G9" s="1">
        <f t="shared" si="0"/>
        <v>1.465437652955055E-6</v>
      </c>
      <c r="H9" s="1">
        <f t="shared" si="1"/>
        <v>-5.83</v>
      </c>
      <c r="I9" s="1">
        <f t="shared" si="2"/>
        <v>-5.64</v>
      </c>
      <c r="J9" s="1">
        <f t="shared" si="3"/>
        <v>0.19000000000000039</v>
      </c>
      <c r="K9" s="1" t="s">
        <v>183</v>
      </c>
      <c r="L9" t="s">
        <v>183</v>
      </c>
      <c r="M9" s="1" t="s">
        <v>185</v>
      </c>
    </row>
    <row r="10" spans="1:13" x14ac:dyDescent="0.25">
      <c r="A10" s="1" t="s">
        <v>8</v>
      </c>
      <c r="B10" s="1" t="s">
        <v>90</v>
      </c>
      <c r="C10" s="1">
        <v>488.77</v>
      </c>
      <c r="D10" s="1">
        <v>2</v>
      </c>
      <c r="E10" s="1">
        <v>4</v>
      </c>
      <c r="F10" s="1">
        <f>AVERAGE(169,172)</f>
        <v>170.5</v>
      </c>
      <c r="G10" s="1">
        <f t="shared" si="0"/>
        <v>4.0919041676043954E-6</v>
      </c>
      <c r="H10" s="1">
        <f t="shared" si="1"/>
        <v>-5.39</v>
      </c>
      <c r="I10" s="1">
        <f t="shared" si="2"/>
        <v>-4.96</v>
      </c>
      <c r="J10" s="1">
        <f t="shared" si="3"/>
        <v>0.42999999999999972</v>
      </c>
      <c r="K10" s="1" t="s">
        <v>183</v>
      </c>
      <c r="L10" t="s">
        <v>184</v>
      </c>
      <c r="M10" s="1" t="s">
        <v>185</v>
      </c>
    </row>
    <row r="11" spans="1:13" x14ac:dyDescent="0.25">
      <c r="A11" s="1" t="s">
        <v>9</v>
      </c>
      <c r="B11" s="1" t="s">
        <v>124</v>
      </c>
      <c r="C11" s="2">
        <v>527.83799999999997</v>
      </c>
      <c r="D11" s="1">
        <v>1.9</v>
      </c>
      <c r="E11" s="1">
        <v>4.6500000000000004</v>
      </c>
      <c r="F11" s="1">
        <v>88</v>
      </c>
      <c r="G11" s="1">
        <f t="shared" si="0"/>
        <v>3.5995892679193238E-6</v>
      </c>
      <c r="H11" s="1">
        <f t="shared" si="1"/>
        <v>-5.44</v>
      </c>
      <c r="I11" s="1">
        <f t="shared" si="2"/>
        <v>-4.78</v>
      </c>
      <c r="J11" s="1">
        <f t="shared" si="3"/>
        <v>0.66000000000000014</v>
      </c>
      <c r="K11" s="1" t="s">
        <v>183</v>
      </c>
      <c r="L11" t="s">
        <v>183</v>
      </c>
      <c r="M11" s="1" t="s">
        <v>185</v>
      </c>
    </row>
    <row r="12" spans="1:13" x14ac:dyDescent="0.25">
      <c r="A12" s="1" t="s">
        <v>10</v>
      </c>
      <c r="B12" s="1" t="s">
        <v>125</v>
      </c>
      <c r="C12" s="1">
        <v>511.15199999999999</v>
      </c>
      <c r="D12" s="1">
        <v>2</v>
      </c>
      <c r="E12" s="1">
        <v>5.12</v>
      </c>
      <c r="F12" s="1">
        <f>AVERAGE(168,169)</f>
        <v>168.5</v>
      </c>
      <c r="G12" s="1">
        <f t="shared" si="0"/>
        <v>3.9127304598240837E-6</v>
      </c>
      <c r="H12" s="1">
        <f t="shared" si="1"/>
        <v>-5.41</v>
      </c>
      <c r="I12" s="1">
        <f t="shared" si="2"/>
        <v>-6.06</v>
      </c>
      <c r="J12" s="1">
        <f t="shared" si="3"/>
        <v>0.64999999999999947</v>
      </c>
      <c r="K12" s="1" t="s">
        <v>183</v>
      </c>
      <c r="L12" t="s">
        <v>183</v>
      </c>
      <c r="M12" s="1" t="s">
        <v>185</v>
      </c>
    </row>
    <row r="13" spans="1:13" x14ac:dyDescent="0.25">
      <c r="A13" s="1" t="s">
        <v>11</v>
      </c>
      <c r="B13" s="1" t="s">
        <v>126</v>
      </c>
      <c r="C13" s="1">
        <v>506.40499999999997</v>
      </c>
      <c r="D13" s="1">
        <v>2</v>
      </c>
      <c r="E13" s="1">
        <v>4.7</v>
      </c>
      <c r="F13" s="1">
        <v>197</v>
      </c>
      <c r="G13" s="1">
        <f t="shared" si="0"/>
        <v>3.9494080824636406E-6</v>
      </c>
      <c r="H13" s="1">
        <f t="shared" si="1"/>
        <v>-5.4</v>
      </c>
      <c r="I13" s="1">
        <f t="shared" si="2"/>
        <v>-5.92</v>
      </c>
      <c r="J13" s="1">
        <f t="shared" si="3"/>
        <v>0.51999999999999957</v>
      </c>
      <c r="K13" s="1" t="s">
        <v>183</v>
      </c>
      <c r="L13" t="s">
        <v>184</v>
      </c>
      <c r="M13" s="1" t="s">
        <v>185</v>
      </c>
    </row>
    <row r="14" spans="1:13" x14ac:dyDescent="0.25">
      <c r="A14" s="1" t="s">
        <v>12</v>
      </c>
      <c r="B14" s="1" t="s">
        <v>127</v>
      </c>
      <c r="C14" s="1">
        <v>368.47500000000002</v>
      </c>
      <c r="D14" s="1">
        <v>4.2</v>
      </c>
      <c r="E14" s="1">
        <v>3.7</v>
      </c>
      <c r="F14" s="1">
        <f>AVERAGE(206,208)</f>
        <v>207</v>
      </c>
      <c r="G14" s="1">
        <f t="shared" si="0"/>
        <v>1.1398330958681051E-5</v>
      </c>
      <c r="H14" s="1">
        <f t="shared" si="1"/>
        <v>-4.9400000000000004</v>
      </c>
      <c r="I14" s="1">
        <f t="shared" si="2"/>
        <v>-5.0199999999999996</v>
      </c>
      <c r="J14" s="1">
        <f t="shared" si="3"/>
        <v>7.9999999999999183E-2</v>
      </c>
      <c r="K14" s="1" t="s">
        <v>184</v>
      </c>
      <c r="L14" t="s">
        <v>183</v>
      </c>
      <c r="M14" s="1" t="s">
        <v>185</v>
      </c>
    </row>
    <row r="15" spans="1:13" x14ac:dyDescent="0.25">
      <c r="A15" s="1" t="s">
        <v>13</v>
      </c>
      <c r="B15" s="1" t="s">
        <v>128</v>
      </c>
      <c r="C15" s="1">
        <v>492.70499999999998</v>
      </c>
      <c r="D15" s="1">
        <v>1.9</v>
      </c>
      <c r="E15" s="1">
        <v>4.3</v>
      </c>
      <c r="F15" s="1">
        <f>AVERAGE(177,178)</f>
        <v>177.5</v>
      </c>
      <c r="G15" s="1">
        <f t="shared" si="0"/>
        <v>3.8562628753513772E-6</v>
      </c>
      <c r="H15" s="1">
        <f t="shared" si="1"/>
        <v>-5.41</v>
      </c>
      <c r="I15" s="1">
        <f t="shared" si="2"/>
        <v>-5.33</v>
      </c>
      <c r="J15" s="1">
        <f t="shared" si="3"/>
        <v>8.0000000000000071E-2</v>
      </c>
      <c r="K15" s="1" t="s">
        <v>183</v>
      </c>
      <c r="L15" t="s">
        <v>183</v>
      </c>
      <c r="M15" s="1" t="s">
        <v>185</v>
      </c>
    </row>
    <row r="16" spans="1:13" x14ac:dyDescent="0.25">
      <c r="A16" s="1" t="s">
        <v>14</v>
      </c>
      <c r="B16" s="1" t="s">
        <v>129</v>
      </c>
      <c r="C16" s="1">
        <v>529.14200000000005</v>
      </c>
      <c r="D16" s="1">
        <v>2</v>
      </c>
      <c r="E16" s="1">
        <v>4.9400000000000004</v>
      </c>
      <c r="F16" s="1">
        <v>156</v>
      </c>
      <c r="G16" s="1">
        <f t="shared" si="0"/>
        <v>3.7797037468203241E-6</v>
      </c>
      <c r="H16" s="1">
        <f t="shared" si="1"/>
        <v>-5.42</v>
      </c>
      <c r="I16" s="1">
        <f t="shared" si="2"/>
        <v>-5.75</v>
      </c>
      <c r="J16" s="1">
        <f t="shared" si="3"/>
        <v>0.33000000000000007</v>
      </c>
      <c r="K16" s="1" t="s">
        <v>183</v>
      </c>
      <c r="L16" t="s">
        <v>183</v>
      </c>
      <c r="M16" s="1" t="s">
        <v>185</v>
      </c>
    </row>
    <row r="17" spans="1:13" x14ac:dyDescent="0.25">
      <c r="A17" s="1" t="s">
        <v>115</v>
      </c>
      <c r="B17" s="1" t="s">
        <v>91</v>
      </c>
      <c r="C17" s="1">
        <v>748.00699999999995</v>
      </c>
      <c r="D17" s="1">
        <v>2</v>
      </c>
      <c r="E17" s="1">
        <v>4.0999999999999996</v>
      </c>
      <c r="F17" s="1">
        <v>143</v>
      </c>
      <c r="G17" s="1">
        <f t="shared" si="0"/>
        <v>2.673771769515526E-6</v>
      </c>
      <c r="H17" s="1">
        <f t="shared" si="1"/>
        <v>-5.57</v>
      </c>
      <c r="I17" s="1">
        <f t="shared" si="2"/>
        <v>-4.78</v>
      </c>
      <c r="J17" s="1">
        <f t="shared" si="3"/>
        <v>0.79</v>
      </c>
      <c r="K17" s="1" t="s">
        <v>183</v>
      </c>
      <c r="L17" t="s">
        <v>184</v>
      </c>
      <c r="M17" s="1" t="s">
        <v>185</v>
      </c>
    </row>
    <row r="18" spans="1:13" x14ac:dyDescent="0.25">
      <c r="A18" s="1" t="s">
        <v>116</v>
      </c>
      <c r="B18" s="1" t="s">
        <v>130</v>
      </c>
      <c r="C18" s="1">
        <v>1477.96</v>
      </c>
      <c r="D18" s="1">
        <v>4</v>
      </c>
      <c r="E18" s="1">
        <v>4</v>
      </c>
      <c r="F18" s="1">
        <f>AVERAGE(84,99)</f>
        <v>91.5</v>
      </c>
      <c r="G18" s="1">
        <f t="shared" si="0"/>
        <v>2.7064331916966628E-6</v>
      </c>
      <c r="H18" s="1">
        <f t="shared" si="1"/>
        <v>-5.57</v>
      </c>
      <c r="I18" s="1">
        <f t="shared" si="2"/>
        <v>-4.17</v>
      </c>
      <c r="J18" s="1">
        <f t="shared" si="3"/>
        <v>1.4000000000000004</v>
      </c>
      <c r="K18" s="1" t="s">
        <v>183</v>
      </c>
      <c r="L18" t="s">
        <v>183</v>
      </c>
      <c r="M18" s="1" t="s">
        <v>185</v>
      </c>
    </row>
    <row r="19" spans="1:13" x14ac:dyDescent="0.25">
      <c r="A19" s="1" t="s">
        <v>15</v>
      </c>
      <c r="B19" s="1" t="s">
        <v>92</v>
      </c>
      <c r="C19" s="1">
        <v>352.476</v>
      </c>
      <c r="D19" s="1">
        <v>4.9000000000000004</v>
      </c>
      <c r="E19" s="1">
        <v>4.25</v>
      </c>
      <c r="F19" s="1">
        <v>191</v>
      </c>
      <c r="G19" s="1">
        <f t="shared" si="0"/>
        <v>1.3901655715566452E-5</v>
      </c>
      <c r="H19" s="1">
        <f t="shared" si="1"/>
        <v>-4.8600000000000003</v>
      </c>
      <c r="I19" s="1">
        <f t="shared" si="2"/>
        <v>-5.41</v>
      </c>
      <c r="J19" s="1">
        <f t="shared" si="3"/>
        <v>0.54999999999999982</v>
      </c>
      <c r="K19" s="1" t="s">
        <v>184</v>
      </c>
      <c r="L19" t="s">
        <v>184</v>
      </c>
      <c r="M19" s="1" t="s">
        <v>185</v>
      </c>
    </row>
    <row r="20" spans="1:13" x14ac:dyDescent="0.25">
      <c r="A20" s="1" t="s">
        <v>16</v>
      </c>
      <c r="B20" s="1" t="s">
        <v>93</v>
      </c>
      <c r="C20" s="1">
        <v>333.86200000000002</v>
      </c>
      <c r="D20" s="1">
        <v>2</v>
      </c>
      <c r="E20" s="1">
        <v>4.93</v>
      </c>
      <c r="F20" s="1">
        <f>AVERAGE(64,66)</f>
        <v>65</v>
      </c>
      <c r="G20" s="1">
        <f t="shared" si="0"/>
        <v>5.9904990684773946E-6</v>
      </c>
      <c r="H20" s="1">
        <f t="shared" si="1"/>
        <v>-5.22</v>
      </c>
      <c r="I20" s="1">
        <f t="shared" si="2"/>
        <v>-4.83</v>
      </c>
      <c r="J20" s="1">
        <f t="shared" si="3"/>
        <v>0.38999999999999968</v>
      </c>
      <c r="K20" s="1" t="s">
        <v>184</v>
      </c>
      <c r="L20" t="s">
        <v>184</v>
      </c>
      <c r="M20" s="1" t="s">
        <v>185</v>
      </c>
    </row>
    <row r="21" spans="1:13" x14ac:dyDescent="0.25">
      <c r="A21" s="1" t="s">
        <v>17</v>
      </c>
      <c r="B21" s="1" t="s">
        <v>131</v>
      </c>
      <c r="C21" s="1">
        <v>381.11200000000002</v>
      </c>
      <c r="D21" s="1">
        <v>2</v>
      </c>
      <c r="E21" s="1">
        <v>4.3</v>
      </c>
      <c r="F21" s="1">
        <v>219</v>
      </c>
      <c r="G21" s="1">
        <f t="shared" si="0"/>
        <v>5.2478011713092213E-6</v>
      </c>
      <c r="H21" s="1">
        <f t="shared" si="1"/>
        <v>-5.28</v>
      </c>
      <c r="I21" s="1">
        <f t="shared" si="2"/>
        <v>-5.74</v>
      </c>
      <c r="J21" s="1">
        <f t="shared" si="3"/>
        <v>0.45999999999999996</v>
      </c>
      <c r="K21" s="1" t="s">
        <v>183</v>
      </c>
      <c r="L21" t="s">
        <v>183</v>
      </c>
      <c r="M21" s="1" t="s">
        <v>185</v>
      </c>
    </row>
    <row r="22" spans="1:13" x14ac:dyDescent="0.25">
      <c r="A22" s="1" t="s">
        <v>18</v>
      </c>
      <c r="B22" s="1" t="s">
        <v>132</v>
      </c>
      <c r="C22" s="1">
        <v>383.87799999999999</v>
      </c>
      <c r="D22" s="1">
        <v>20</v>
      </c>
      <c r="E22" s="1">
        <v>5.61</v>
      </c>
      <c r="F22" s="1">
        <f>AVERAGE(87,88)</f>
        <v>87.5</v>
      </c>
      <c r="G22" s="1">
        <f t="shared" si="0"/>
        <v>5.2099885901249878E-5</v>
      </c>
      <c r="H22" s="1">
        <f t="shared" si="1"/>
        <v>-4.28</v>
      </c>
      <c r="I22" s="1">
        <f t="shared" si="2"/>
        <v>-5.74</v>
      </c>
      <c r="J22" s="1">
        <f t="shared" si="3"/>
        <v>1.46</v>
      </c>
      <c r="K22" s="1" t="s">
        <v>184</v>
      </c>
      <c r="L22" t="s">
        <v>184</v>
      </c>
      <c r="M22" s="1" t="s">
        <v>185</v>
      </c>
    </row>
    <row r="23" spans="1:13" x14ac:dyDescent="0.25">
      <c r="A23" s="1" t="s">
        <v>19</v>
      </c>
      <c r="B23" s="1" t="s">
        <v>133</v>
      </c>
      <c r="C23" s="1">
        <v>222.678</v>
      </c>
      <c r="D23" s="1">
        <v>921</v>
      </c>
      <c r="E23" s="1">
        <v>0.8</v>
      </c>
      <c r="F23" s="1">
        <v>99</v>
      </c>
      <c r="G23" s="1">
        <f t="shared" si="0"/>
        <v>4.136017029073371E-3</v>
      </c>
      <c r="H23" s="1">
        <f t="shared" si="1"/>
        <v>-2.38</v>
      </c>
      <c r="I23" s="1">
        <f t="shared" si="2"/>
        <v>-1.04</v>
      </c>
      <c r="J23" s="1">
        <f t="shared" si="3"/>
        <v>1.3399999999999999</v>
      </c>
      <c r="K23" s="1" t="s">
        <v>184</v>
      </c>
      <c r="L23" t="s">
        <v>184</v>
      </c>
      <c r="M23" s="1" t="s">
        <v>186</v>
      </c>
    </row>
    <row r="24" spans="1:13" x14ac:dyDescent="0.25">
      <c r="A24" s="1" t="s">
        <v>20</v>
      </c>
      <c r="B24" s="1" t="s">
        <v>134</v>
      </c>
      <c r="C24" s="1">
        <v>249.68199999999999</v>
      </c>
      <c r="D24" s="1">
        <v>223</v>
      </c>
      <c r="E24" s="1">
        <v>0.7</v>
      </c>
      <c r="F24" s="1">
        <v>177</v>
      </c>
      <c r="G24" s="1">
        <f t="shared" si="0"/>
        <v>8.9313606907986953E-4</v>
      </c>
      <c r="H24" s="1">
        <f t="shared" si="1"/>
        <v>-3.05</v>
      </c>
      <c r="I24" s="1">
        <f t="shared" si="2"/>
        <v>-1.72</v>
      </c>
      <c r="J24" s="1">
        <f t="shared" si="3"/>
        <v>1.3299999999999998</v>
      </c>
      <c r="K24" s="1" t="s">
        <v>183</v>
      </c>
      <c r="L24" t="s">
        <v>184</v>
      </c>
      <c r="M24" s="1" t="s">
        <v>186</v>
      </c>
    </row>
    <row r="25" spans="1:13" x14ac:dyDescent="0.25">
      <c r="A25" s="1" t="s">
        <v>21</v>
      </c>
      <c r="B25" s="1" t="s">
        <v>135</v>
      </c>
      <c r="C25" s="1">
        <v>473.71699999999998</v>
      </c>
      <c r="D25" s="1">
        <v>60</v>
      </c>
      <c r="E25" s="1">
        <v>1.94</v>
      </c>
      <c r="F25" s="1">
        <v>224</v>
      </c>
      <c r="G25" s="1">
        <f t="shared" si="0"/>
        <v>1.2665789912542721E-4</v>
      </c>
      <c r="H25" s="1">
        <f t="shared" si="1"/>
        <v>-3.9</v>
      </c>
      <c r="I25" s="1">
        <f t="shared" si="2"/>
        <v>-3.43</v>
      </c>
      <c r="J25" s="1">
        <f t="shared" si="3"/>
        <v>0.46999999999999975</v>
      </c>
      <c r="K25" s="1" t="s">
        <v>183</v>
      </c>
      <c r="L25" t="s">
        <v>183</v>
      </c>
      <c r="M25" s="1" t="s">
        <v>186</v>
      </c>
    </row>
    <row r="26" spans="1:13" x14ac:dyDescent="0.25">
      <c r="A26" s="1" t="s">
        <v>22</v>
      </c>
      <c r="B26" s="1" t="s">
        <v>136</v>
      </c>
      <c r="C26" s="1">
        <v>202.21299999999999</v>
      </c>
      <c r="D26" s="1">
        <v>822</v>
      </c>
      <c r="E26" s="1">
        <v>-0.55000000000000004</v>
      </c>
      <c r="F26" s="1">
        <v>108</v>
      </c>
      <c r="G26" s="1">
        <f t="shared" si="0"/>
        <v>4.0650205476403601E-3</v>
      </c>
      <c r="H26" s="1">
        <f t="shared" si="1"/>
        <v>-2.39</v>
      </c>
      <c r="I26" s="1">
        <f t="shared" si="2"/>
        <v>0.22</v>
      </c>
      <c r="J26" s="1">
        <f t="shared" si="3"/>
        <v>2.6100000000000003</v>
      </c>
      <c r="K26" s="1" t="s">
        <v>184</v>
      </c>
      <c r="L26" t="s">
        <v>184</v>
      </c>
      <c r="M26" s="1" t="s">
        <v>186</v>
      </c>
    </row>
    <row r="27" spans="1:13" x14ac:dyDescent="0.25">
      <c r="A27" s="1" t="s">
        <v>23</v>
      </c>
      <c r="B27" s="1" t="s">
        <v>117</v>
      </c>
      <c r="C27" s="1">
        <v>229.161</v>
      </c>
      <c r="D27" s="1">
        <v>1039</v>
      </c>
      <c r="E27" s="1">
        <v>0.3</v>
      </c>
      <c r="F27" s="1">
        <v>157</v>
      </c>
      <c r="G27" s="1">
        <f t="shared" si="0"/>
        <v>4.5339302935490768E-3</v>
      </c>
      <c r="H27" s="1">
        <f t="shared" si="1"/>
        <v>-2.34</v>
      </c>
      <c r="I27" s="1">
        <f t="shared" si="2"/>
        <v>-1.1200000000000001</v>
      </c>
      <c r="J27" s="1">
        <f t="shared" si="3"/>
        <v>1.2199999999999998</v>
      </c>
      <c r="K27" s="1" t="s">
        <v>184</v>
      </c>
      <c r="L27" t="s">
        <v>184</v>
      </c>
      <c r="M27" s="1" t="s">
        <v>186</v>
      </c>
    </row>
    <row r="28" spans="1:13" x14ac:dyDescent="0.25">
      <c r="A28" s="1" t="s">
        <v>24</v>
      </c>
      <c r="B28" s="1" t="s">
        <v>137</v>
      </c>
      <c r="C28" s="1">
        <v>255.66399999999999</v>
      </c>
      <c r="D28" s="1">
        <v>220</v>
      </c>
      <c r="E28" s="1">
        <v>0.56999999999999995</v>
      </c>
      <c r="F28" s="1">
        <v>144</v>
      </c>
      <c r="G28" s="1">
        <f t="shared" si="0"/>
        <v>8.605044120408036E-4</v>
      </c>
      <c r="H28" s="1">
        <f t="shared" si="1"/>
        <v>-3.07</v>
      </c>
      <c r="I28" s="1">
        <f t="shared" si="2"/>
        <v>-1.26</v>
      </c>
      <c r="J28" s="1">
        <f t="shared" si="3"/>
        <v>1.8099999999999998</v>
      </c>
      <c r="K28" s="1" t="s">
        <v>183</v>
      </c>
      <c r="L28" t="s">
        <v>184</v>
      </c>
      <c r="M28" s="1" t="s">
        <v>186</v>
      </c>
    </row>
    <row r="29" spans="1:13" x14ac:dyDescent="0.25">
      <c r="A29" s="1" t="s">
        <v>25</v>
      </c>
      <c r="B29" s="1" t="s">
        <v>138</v>
      </c>
      <c r="C29" s="1">
        <v>270.71899999999999</v>
      </c>
      <c r="D29" s="1">
        <v>1133</v>
      </c>
      <c r="E29" s="1">
        <v>-0.66</v>
      </c>
      <c r="F29" s="1">
        <v>82</v>
      </c>
      <c r="G29" s="1">
        <f t="shared" si="0"/>
        <v>4.1851513931419667E-3</v>
      </c>
      <c r="H29" s="1">
        <f t="shared" si="1"/>
        <v>-2.38</v>
      </c>
      <c r="I29" s="1">
        <f t="shared" si="2"/>
        <v>0.59</v>
      </c>
      <c r="J29" s="1">
        <f t="shared" si="3"/>
        <v>2.9699999999999998</v>
      </c>
      <c r="K29" s="1" t="s">
        <v>184</v>
      </c>
      <c r="L29" t="s">
        <v>184</v>
      </c>
      <c r="M29" s="1" t="s">
        <v>186</v>
      </c>
    </row>
    <row r="30" spans="1:13" x14ac:dyDescent="0.25">
      <c r="A30" s="1" t="s">
        <v>26</v>
      </c>
      <c r="B30" s="1" t="s">
        <v>139</v>
      </c>
      <c r="C30" s="1">
        <v>217.23099999999999</v>
      </c>
      <c r="D30" s="1">
        <v>215</v>
      </c>
      <c r="E30" s="1">
        <v>-0.18</v>
      </c>
      <c r="F30" s="1">
        <v>217</v>
      </c>
      <c r="G30" s="1">
        <f t="shared" si="0"/>
        <v>9.8972982677426337E-4</v>
      </c>
      <c r="H30" s="1">
        <f t="shared" si="1"/>
        <v>-3</v>
      </c>
      <c r="I30" s="1">
        <f t="shared" si="2"/>
        <v>-1.24</v>
      </c>
      <c r="J30" s="1">
        <f t="shared" si="3"/>
        <v>1.76</v>
      </c>
      <c r="K30" s="1" t="s">
        <v>184</v>
      </c>
      <c r="L30" t="s">
        <v>184</v>
      </c>
      <c r="M30" s="1" t="s">
        <v>186</v>
      </c>
    </row>
    <row r="31" spans="1:13" x14ac:dyDescent="0.25">
      <c r="A31" s="1" t="s">
        <v>27</v>
      </c>
      <c r="B31" s="1" t="s">
        <v>140</v>
      </c>
      <c r="C31" s="1">
        <v>464.34</v>
      </c>
      <c r="D31" s="1">
        <v>3</v>
      </c>
      <c r="E31" s="1">
        <v>3.12</v>
      </c>
      <c r="F31" s="1">
        <f>AVERAGE(138,139)</f>
        <v>138.5</v>
      </c>
      <c r="G31" s="1">
        <f t="shared" si="0"/>
        <v>6.4607830469052848E-6</v>
      </c>
      <c r="H31" s="1">
        <f t="shared" si="1"/>
        <v>-5.19</v>
      </c>
      <c r="I31" s="1">
        <f t="shared" si="2"/>
        <v>-3.76</v>
      </c>
      <c r="J31" s="1">
        <f t="shared" si="3"/>
        <v>1.4300000000000006</v>
      </c>
      <c r="K31" s="1" t="s">
        <v>184</v>
      </c>
      <c r="L31" t="s">
        <v>183</v>
      </c>
      <c r="M31" s="1" t="s">
        <v>186</v>
      </c>
    </row>
    <row r="32" spans="1:13" x14ac:dyDescent="0.25">
      <c r="A32" s="1" t="s">
        <v>28</v>
      </c>
      <c r="B32" s="1" t="s">
        <v>177</v>
      </c>
      <c r="C32" s="1">
        <v>373.447</v>
      </c>
      <c r="D32" s="1">
        <v>41</v>
      </c>
      <c r="E32" s="1">
        <v>2.5099999999999998</v>
      </c>
      <c r="F32" s="1">
        <v>142</v>
      </c>
      <c r="G32" s="1">
        <f t="shared" si="0"/>
        <v>1.0978800204580569E-4</v>
      </c>
      <c r="H32" s="1">
        <f t="shared" si="1"/>
        <v>-3.96</v>
      </c>
      <c r="I32" s="1">
        <f t="shared" si="2"/>
        <v>-3.18</v>
      </c>
      <c r="J32" s="1">
        <f t="shared" si="3"/>
        <v>0.7799999999999998</v>
      </c>
      <c r="K32" s="1" t="s">
        <v>183</v>
      </c>
      <c r="L32" t="s">
        <v>184</v>
      </c>
      <c r="M32" s="1" t="s">
        <v>186</v>
      </c>
    </row>
    <row r="33" spans="1:13" x14ac:dyDescent="0.25">
      <c r="A33" s="1" t="s">
        <v>29</v>
      </c>
      <c r="B33" s="1" t="s">
        <v>141</v>
      </c>
      <c r="C33" s="1">
        <v>277.26900000000001</v>
      </c>
      <c r="D33" s="1">
        <v>443</v>
      </c>
      <c r="E33" s="1">
        <v>0.8</v>
      </c>
      <c r="F33" s="1">
        <v>113</v>
      </c>
      <c r="G33" s="1">
        <f t="shared" si="0"/>
        <v>1.5977263956663025E-3</v>
      </c>
      <c r="H33" s="1">
        <f t="shared" si="1"/>
        <v>-2.8</v>
      </c>
      <c r="I33" s="1">
        <f t="shared" si="2"/>
        <v>-1.18</v>
      </c>
      <c r="J33" s="1">
        <f t="shared" si="3"/>
        <v>1.6199999999999999</v>
      </c>
      <c r="K33" s="1" t="s">
        <v>184</v>
      </c>
      <c r="L33" t="s">
        <v>184</v>
      </c>
      <c r="M33" s="1" t="s">
        <v>186</v>
      </c>
    </row>
    <row r="34" spans="1:13" x14ac:dyDescent="0.25">
      <c r="A34" s="1" t="s">
        <v>30</v>
      </c>
      <c r="B34" s="1" t="s">
        <v>142</v>
      </c>
      <c r="C34" s="1">
        <v>252.72800000000001</v>
      </c>
      <c r="D34" s="1">
        <v>186</v>
      </c>
      <c r="E34" s="1">
        <v>0.73</v>
      </c>
      <c r="F34" s="1">
        <v>136</v>
      </c>
      <c r="G34" s="1">
        <f t="shared" si="0"/>
        <v>7.3596910512487739E-4</v>
      </c>
      <c r="H34" s="1">
        <f t="shared" si="1"/>
        <v>-3.13</v>
      </c>
      <c r="I34" s="1">
        <f t="shared" si="2"/>
        <v>-1.34</v>
      </c>
      <c r="J34" s="1">
        <f t="shared" si="3"/>
        <v>1.7899999999999998</v>
      </c>
      <c r="K34" s="1" t="s">
        <v>184</v>
      </c>
      <c r="L34" t="s">
        <v>184</v>
      </c>
      <c r="M34" s="1" t="s">
        <v>186</v>
      </c>
    </row>
    <row r="35" spans="1:13" x14ac:dyDescent="0.25">
      <c r="A35" s="1" t="s">
        <v>31</v>
      </c>
      <c r="B35" s="1" t="s">
        <v>143</v>
      </c>
      <c r="C35" s="1">
        <v>291.71800000000002</v>
      </c>
      <c r="D35" s="1">
        <v>240</v>
      </c>
      <c r="E35" s="1">
        <v>-0.13</v>
      </c>
      <c r="F35" s="1">
        <v>139</v>
      </c>
      <c r="G35" s="1">
        <f t="shared" si="0"/>
        <v>8.227123454843375E-4</v>
      </c>
      <c r="H35" s="1">
        <f t="shared" si="1"/>
        <v>-3.08</v>
      </c>
      <c r="I35" s="1">
        <f t="shared" si="2"/>
        <v>-0.51</v>
      </c>
      <c r="J35" s="1">
        <f t="shared" si="3"/>
        <v>2.5700000000000003</v>
      </c>
      <c r="K35" s="1" t="s">
        <v>183</v>
      </c>
      <c r="L35" t="s">
        <v>184</v>
      </c>
      <c r="M35" s="1" t="s">
        <v>186</v>
      </c>
    </row>
    <row r="36" spans="1:13" x14ac:dyDescent="0.25">
      <c r="A36" s="1" t="s">
        <v>32</v>
      </c>
      <c r="B36" s="1" t="s">
        <v>144</v>
      </c>
      <c r="C36" s="1">
        <v>210.28100000000001</v>
      </c>
      <c r="D36" s="1">
        <v>15.6</v>
      </c>
      <c r="E36" s="1">
        <v>3.1</v>
      </c>
      <c r="F36" s="1">
        <v>133</v>
      </c>
      <c r="G36" s="1">
        <f t="shared" si="0"/>
        <v>7.4186445755917066E-5</v>
      </c>
      <c r="H36" s="1">
        <f t="shared" si="1"/>
        <v>-4.13</v>
      </c>
      <c r="I36" s="1">
        <f t="shared" si="2"/>
        <v>-3.68</v>
      </c>
      <c r="J36" s="1">
        <f t="shared" si="3"/>
        <v>0.44999999999999973</v>
      </c>
      <c r="K36" s="1" t="s">
        <v>183</v>
      </c>
      <c r="L36" t="s">
        <v>184</v>
      </c>
      <c r="M36" s="1" t="s">
        <v>187</v>
      </c>
    </row>
    <row r="37" spans="1:13" x14ac:dyDescent="0.25">
      <c r="A37" s="1" t="s">
        <v>33</v>
      </c>
      <c r="B37" s="1" t="s">
        <v>94</v>
      </c>
      <c r="C37" s="1">
        <v>403.39299999999997</v>
      </c>
      <c r="D37" s="1">
        <v>7</v>
      </c>
      <c r="E37" s="1">
        <v>2.5</v>
      </c>
      <c r="F37" s="1">
        <v>116</v>
      </c>
      <c r="G37" s="1">
        <f t="shared" si="0"/>
        <v>1.7352804833004047E-5</v>
      </c>
      <c r="H37" s="1">
        <f t="shared" si="1"/>
        <v>-4.76</v>
      </c>
      <c r="I37" s="1">
        <f t="shared" si="2"/>
        <v>-2.91</v>
      </c>
      <c r="J37" s="1">
        <f t="shared" si="3"/>
        <v>1.8499999999999996</v>
      </c>
      <c r="K37" s="1" t="s">
        <v>184</v>
      </c>
      <c r="L37" t="s">
        <v>183</v>
      </c>
      <c r="M37" s="1" t="s">
        <v>187</v>
      </c>
    </row>
    <row r="38" spans="1:13" x14ac:dyDescent="0.25">
      <c r="A38" s="1" t="s">
        <v>34</v>
      </c>
      <c r="B38" s="1" t="s">
        <v>95</v>
      </c>
      <c r="C38" s="1">
        <v>398.23899999999998</v>
      </c>
      <c r="D38" s="1">
        <v>1.1000000000000001</v>
      </c>
      <c r="E38" s="1">
        <v>4.3</v>
      </c>
      <c r="F38" s="1">
        <v>148</v>
      </c>
      <c r="G38" s="1">
        <f t="shared" si="0"/>
        <v>2.7621604112103539E-6</v>
      </c>
      <c r="H38" s="1">
        <f t="shared" si="1"/>
        <v>-5.56</v>
      </c>
      <c r="I38" s="1">
        <f t="shared" si="2"/>
        <v>-5.03</v>
      </c>
      <c r="J38" s="1">
        <f t="shared" si="3"/>
        <v>0.52999999999999936</v>
      </c>
      <c r="K38" s="1" t="s">
        <v>183</v>
      </c>
      <c r="L38" t="s">
        <v>184</v>
      </c>
      <c r="M38" s="1" t="s">
        <v>187</v>
      </c>
    </row>
    <row r="39" spans="1:13" x14ac:dyDescent="0.25">
      <c r="A39" s="1" t="s">
        <v>35</v>
      </c>
      <c r="B39" s="1" t="s">
        <v>96</v>
      </c>
      <c r="C39" s="1">
        <v>414.21300000000002</v>
      </c>
      <c r="D39" s="1">
        <v>1.9</v>
      </c>
      <c r="E39" s="1">
        <v>3.3</v>
      </c>
      <c r="F39" s="1">
        <v>143</v>
      </c>
      <c r="G39" s="1">
        <f t="shared" si="0"/>
        <v>4.5870119962434781E-6</v>
      </c>
      <c r="H39" s="1">
        <f t="shared" si="1"/>
        <v>-5.34</v>
      </c>
      <c r="I39" s="1">
        <f t="shared" si="2"/>
        <v>-3.98</v>
      </c>
      <c r="J39" s="1">
        <f t="shared" si="3"/>
        <v>1.3599999999999999</v>
      </c>
      <c r="K39" s="1" t="s">
        <v>184</v>
      </c>
      <c r="L39" t="s">
        <v>184</v>
      </c>
      <c r="M39" s="1" t="s">
        <v>187</v>
      </c>
    </row>
    <row r="40" spans="1:13" x14ac:dyDescent="0.25">
      <c r="A40" s="1" t="s">
        <v>36</v>
      </c>
      <c r="B40" s="1" t="s">
        <v>178</v>
      </c>
      <c r="C40" s="1">
        <v>343.21199999999999</v>
      </c>
      <c r="D40" s="1">
        <v>4.2</v>
      </c>
      <c r="E40" s="1">
        <v>2.96</v>
      </c>
      <c r="F40" s="1">
        <f>AVERAGE(143,144)</f>
        <v>143.5</v>
      </c>
      <c r="G40" s="1">
        <f t="shared" si="0"/>
        <v>1.2237334358938501E-5</v>
      </c>
      <c r="H40" s="1">
        <f t="shared" si="1"/>
        <v>-4.91</v>
      </c>
      <c r="I40" s="1">
        <f t="shared" si="2"/>
        <v>-3.65</v>
      </c>
      <c r="J40" s="1">
        <f t="shared" si="3"/>
        <v>1.2600000000000002</v>
      </c>
      <c r="K40" s="1" t="s">
        <v>184</v>
      </c>
      <c r="L40" t="s">
        <v>184</v>
      </c>
      <c r="M40" s="1" t="s">
        <v>187</v>
      </c>
    </row>
    <row r="41" spans="1:13" x14ac:dyDescent="0.25">
      <c r="A41" s="1" t="s">
        <v>37</v>
      </c>
      <c r="B41" s="1" t="s">
        <v>145</v>
      </c>
      <c r="C41" s="1">
        <v>191.18899999999999</v>
      </c>
      <c r="D41" s="1">
        <v>5.9</v>
      </c>
      <c r="E41" s="1">
        <v>1.51</v>
      </c>
      <c r="F41" s="1">
        <f>AVERAGE(302,307)</f>
        <v>304.5</v>
      </c>
      <c r="G41" s="1">
        <f t="shared" si="0"/>
        <v>3.0859515976337554E-5</v>
      </c>
      <c r="H41" s="1">
        <f t="shared" si="1"/>
        <v>-4.51</v>
      </c>
      <c r="I41" s="1">
        <f t="shared" si="2"/>
        <v>-3.81</v>
      </c>
      <c r="J41" s="1">
        <f t="shared" si="3"/>
        <v>0.69999999999999973</v>
      </c>
      <c r="K41" s="1" t="s">
        <v>184</v>
      </c>
      <c r="L41" t="s">
        <v>184</v>
      </c>
      <c r="M41" s="1" t="s">
        <v>187</v>
      </c>
    </row>
    <row r="42" spans="1:13" x14ac:dyDescent="0.25">
      <c r="A42" s="1" t="s">
        <v>38</v>
      </c>
      <c r="B42" s="1" t="s">
        <v>146</v>
      </c>
      <c r="C42" s="1">
        <v>235.30600000000001</v>
      </c>
      <c r="D42" s="1">
        <v>194</v>
      </c>
      <c r="E42" s="1">
        <v>2.2999999999999998</v>
      </c>
      <c r="F42" s="1">
        <f>AVERAGE(91,92)</f>
        <v>91.5</v>
      </c>
      <c r="G42" s="1">
        <f t="shared" si="0"/>
        <v>8.2445836485257494E-4</v>
      </c>
      <c r="H42" s="1">
        <f t="shared" si="1"/>
        <v>-3.08</v>
      </c>
      <c r="I42" s="1">
        <f t="shared" si="2"/>
        <v>-2.4700000000000002</v>
      </c>
      <c r="J42" s="1">
        <f t="shared" si="3"/>
        <v>0.60999999999999988</v>
      </c>
      <c r="K42" s="1" t="s">
        <v>184</v>
      </c>
      <c r="L42" t="s">
        <v>184</v>
      </c>
      <c r="M42" s="1" t="s">
        <v>187</v>
      </c>
    </row>
    <row r="43" spans="1:13" x14ac:dyDescent="0.25">
      <c r="A43" s="1" t="s">
        <v>39</v>
      </c>
      <c r="B43" s="1" t="s">
        <v>97</v>
      </c>
      <c r="C43" s="1">
        <v>291.78100000000001</v>
      </c>
      <c r="D43" s="1">
        <v>124</v>
      </c>
      <c r="E43" s="1">
        <v>3.1</v>
      </c>
      <c r="F43" s="1">
        <v>106</v>
      </c>
      <c r="G43" s="1">
        <f t="shared" si="0"/>
        <v>4.2497626644641011E-4</v>
      </c>
      <c r="H43" s="1">
        <f t="shared" si="1"/>
        <v>-3.37</v>
      </c>
      <c r="I43" s="1">
        <f t="shared" si="2"/>
        <v>-3.41</v>
      </c>
      <c r="J43" s="1">
        <f t="shared" si="3"/>
        <v>4.0000000000000036E-2</v>
      </c>
      <c r="K43" s="1" t="s">
        <v>184</v>
      </c>
      <c r="L43" t="s">
        <v>184</v>
      </c>
      <c r="M43" s="1" t="s">
        <v>187</v>
      </c>
    </row>
    <row r="44" spans="1:13" x14ac:dyDescent="0.25">
      <c r="A44" s="1" t="s">
        <v>40</v>
      </c>
      <c r="B44" s="1" t="s">
        <v>147</v>
      </c>
      <c r="C44" s="1">
        <v>225.29400000000001</v>
      </c>
      <c r="D44" s="1">
        <v>7.5</v>
      </c>
      <c r="E44" s="1">
        <v>4</v>
      </c>
      <c r="F44" s="1">
        <v>76</v>
      </c>
      <c r="G44" s="1">
        <f t="shared" si="0"/>
        <v>3.3289834616101626E-5</v>
      </c>
      <c r="H44" s="1">
        <f t="shared" si="1"/>
        <v>-4.4800000000000004</v>
      </c>
      <c r="I44" s="1">
        <f t="shared" si="2"/>
        <v>-4.01</v>
      </c>
      <c r="J44" s="1">
        <f t="shared" si="3"/>
        <v>0.47000000000000064</v>
      </c>
      <c r="K44" s="1" t="s">
        <v>184</v>
      </c>
      <c r="L44" t="s">
        <v>184</v>
      </c>
      <c r="M44" s="1" t="s">
        <v>187</v>
      </c>
    </row>
    <row r="45" spans="1:13" x14ac:dyDescent="0.25">
      <c r="A45" s="1" t="s">
        <v>41</v>
      </c>
      <c r="B45" s="1" t="s">
        <v>148</v>
      </c>
      <c r="C45" s="1">
        <v>329.76100000000002</v>
      </c>
      <c r="D45" s="1">
        <v>6.6</v>
      </c>
      <c r="E45" s="1">
        <v>3.33</v>
      </c>
      <c r="F45" s="1">
        <f>AVERAGE(136,137)</f>
        <v>136.5</v>
      </c>
      <c r="G45" s="1">
        <f t="shared" si="0"/>
        <v>2.0014495346629829E-5</v>
      </c>
      <c r="H45" s="1">
        <f t="shared" si="1"/>
        <v>-4.7</v>
      </c>
      <c r="I45" s="1">
        <f t="shared" si="2"/>
        <v>-3.95</v>
      </c>
      <c r="J45" s="1">
        <f t="shared" si="3"/>
        <v>0.75</v>
      </c>
      <c r="K45" s="1" t="s">
        <v>184</v>
      </c>
      <c r="L45" t="s">
        <v>184</v>
      </c>
      <c r="M45" s="1" t="s">
        <v>187</v>
      </c>
    </row>
    <row r="46" spans="1:13" x14ac:dyDescent="0.25">
      <c r="A46" s="1" t="s">
        <v>42</v>
      </c>
      <c r="B46" s="1" t="s">
        <v>149</v>
      </c>
      <c r="C46" s="1">
        <v>336.82499999999999</v>
      </c>
      <c r="D46" s="1">
        <v>5.9</v>
      </c>
      <c r="E46" s="1">
        <v>3.23</v>
      </c>
      <c r="F46" s="1">
        <f>AVERAGE(126,127)</f>
        <v>126.5</v>
      </c>
      <c r="G46" s="1">
        <f t="shared" si="0"/>
        <v>1.7516514510502487E-5</v>
      </c>
      <c r="H46" s="1">
        <f t="shared" si="1"/>
        <v>-4.76</v>
      </c>
      <c r="I46" s="1">
        <f t="shared" si="2"/>
        <v>-3.75</v>
      </c>
      <c r="J46" s="1">
        <f t="shared" si="3"/>
        <v>1.0099999999999998</v>
      </c>
      <c r="K46" s="1" t="s">
        <v>184</v>
      </c>
      <c r="L46" t="s">
        <v>183</v>
      </c>
      <c r="M46" s="1" t="s">
        <v>187</v>
      </c>
    </row>
    <row r="47" spans="1:13" x14ac:dyDescent="0.25">
      <c r="A47" s="1" t="s">
        <v>43</v>
      </c>
      <c r="B47" s="1" t="s">
        <v>150</v>
      </c>
      <c r="C47" s="1">
        <v>396.71699999999998</v>
      </c>
      <c r="D47" s="1">
        <v>18.5</v>
      </c>
      <c r="E47" s="1">
        <v>2.85</v>
      </c>
      <c r="F47" s="1">
        <v>118</v>
      </c>
      <c r="G47" s="1">
        <f t="shared" si="0"/>
        <v>4.6632738198766373E-5</v>
      </c>
      <c r="H47" s="1">
        <f t="shared" si="1"/>
        <v>-4.33</v>
      </c>
      <c r="I47" s="1">
        <f t="shared" si="2"/>
        <v>-3.28</v>
      </c>
      <c r="J47" s="1">
        <f t="shared" si="3"/>
        <v>1.0500000000000003</v>
      </c>
      <c r="K47" s="1" t="s">
        <v>184</v>
      </c>
      <c r="L47" t="s">
        <v>184</v>
      </c>
      <c r="M47" s="1" t="s">
        <v>187</v>
      </c>
    </row>
    <row r="48" spans="1:13" x14ac:dyDescent="0.25">
      <c r="A48" s="1" t="s">
        <v>44</v>
      </c>
      <c r="B48" s="1" t="s">
        <v>151</v>
      </c>
      <c r="C48" s="1">
        <v>458.83199999999999</v>
      </c>
      <c r="D48" s="1">
        <v>2.1</v>
      </c>
      <c r="E48" s="1">
        <v>2.86</v>
      </c>
      <c r="F48" s="1">
        <f>AVERAGE(103,108)</f>
        <v>105.5</v>
      </c>
      <c r="G48" s="1">
        <f t="shared" si="0"/>
        <v>4.5768385814415736E-6</v>
      </c>
      <c r="H48" s="1">
        <f t="shared" si="1"/>
        <v>-5.34</v>
      </c>
      <c r="I48" s="1">
        <f t="shared" si="2"/>
        <v>-3.17</v>
      </c>
      <c r="J48" s="1">
        <f t="shared" si="3"/>
        <v>2.17</v>
      </c>
      <c r="K48" s="1" t="s">
        <v>183</v>
      </c>
      <c r="L48" t="s">
        <v>184</v>
      </c>
      <c r="M48" s="1" t="s">
        <v>187</v>
      </c>
    </row>
    <row r="49" spans="1:13" x14ac:dyDescent="0.25">
      <c r="A49" s="1" t="s">
        <v>45</v>
      </c>
      <c r="B49" s="1" t="s">
        <v>152</v>
      </c>
      <c r="C49" s="1">
        <v>376.178</v>
      </c>
      <c r="D49" s="1">
        <v>1.9</v>
      </c>
      <c r="E49" s="1">
        <v>3.24</v>
      </c>
      <c r="F49" s="1">
        <f>AVERAGE(191,199)</f>
        <v>195</v>
      </c>
      <c r="G49" s="1">
        <f t="shared" si="0"/>
        <v>5.0508004189506035E-6</v>
      </c>
      <c r="H49" s="1">
        <f t="shared" si="1"/>
        <v>-5.3</v>
      </c>
      <c r="I49" s="1">
        <f t="shared" si="2"/>
        <v>-4.4400000000000004</v>
      </c>
      <c r="J49" s="1">
        <f t="shared" si="3"/>
        <v>0.85999999999999943</v>
      </c>
      <c r="K49" s="1" t="s">
        <v>184</v>
      </c>
      <c r="L49" t="s">
        <v>184</v>
      </c>
      <c r="M49" s="1" t="s">
        <v>187</v>
      </c>
    </row>
    <row r="50" spans="1:13" x14ac:dyDescent="0.25">
      <c r="A50" s="1" t="s">
        <v>46</v>
      </c>
      <c r="B50" s="1" t="s">
        <v>153</v>
      </c>
      <c r="C50" s="1">
        <v>323.31299999999999</v>
      </c>
      <c r="D50" s="1">
        <v>6.8</v>
      </c>
      <c r="E50" s="1">
        <v>3.17</v>
      </c>
      <c r="F50" s="1">
        <f>AVERAGE(105,107)</f>
        <v>106</v>
      </c>
      <c r="G50" s="1">
        <f t="shared" si="0"/>
        <v>2.1032250481731325E-5</v>
      </c>
      <c r="H50" s="1">
        <f t="shared" si="1"/>
        <v>-4.68</v>
      </c>
      <c r="I50" s="1">
        <f t="shared" si="2"/>
        <v>-3.48</v>
      </c>
      <c r="J50" s="1">
        <f t="shared" si="3"/>
        <v>1.1999999999999997</v>
      </c>
      <c r="K50" s="1" t="s">
        <v>184</v>
      </c>
      <c r="L50" t="s">
        <v>184</v>
      </c>
      <c r="M50" s="1" t="s">
        <v>187</v>
      </c>
    </row>
    <row r="51" spans="1:13" x14ac:dyDescent="0.25">
      <c r="A51" s="1" t="s">
        <v>47</v>
      </c>
      <c r="B51" s="1" t="s">
        <v>154</v>
      </c>
      <c r="C51" s="1">
        <v>381.303</v>
      </c>
      <c r="D51" s="1">
        <v>3.9</v>
      </c>
      <c r="E51" s="1">
        <v>3.08</v>
      </c>
      <c r="F51" s="1">
        <v>157</v>
      </c>
      <c r="G51" s="1">
        <f t="shared" si="0"/>
        <v>1.0228086325048583E-5</v>
      </c>
      <c r="H51" s="1">
        <f t="shared" si="1"/>
        <v>-4.99</v>
      </c>
      <c r="I51" s="1">
        <f t="shared" si="2"/>
        <v>-3.9</v>
      </c>
      <c r="J51" s="1">
        <f t="shared" si="3"/>
        <v>1.0900000000000003</v>
      </c>
      <c r="K51" s="1" t="s">
        <v>184</v>
      </c>
      <c r="L51" t="s">
        <v>184</v>
      </c>
      <c r="M51" s="1" t="s">
        <v>187</v>
      </c>
    </row>
    <row r="52" spans="1:13" x14ac:dyDescent="0.25">
      <c r="A52" s="1" t="s">
        <v>48</v>
      </c>
      <c r="B52" s="1" t="s">
        <v>98</v>
      </c>
      <c r="C52" s="1">
        <v>330.17</v>
      </c>
      <c r="D52" s="1">
        <v>250</v>
      </c>
      <c r="E52" s="1">
        <v>3</v>
      </c>
      <c r="F52" s="1">
        <v>134</v>
      </c>
      <c r="G52" s="1">
        <f t="shared" si="0"/>
        <v>7.5718569221915977E-4</v>
      </c>
      <c r="H52" s="1">
        <f t="shared" si="1"/>
        <v>-3.12</v>
      </c>
      <c r="I52" s="1">
        <f t="shared" si="2"/>
        <v>-3.59</v>
      </c>
      <c r="J52" s="1">
        <f t="shared" si="3"/>
        <v>0.46999999999999975</v>
      </c>
      <c r="K52" s="1" t="s">
        <v>183</v>
      </c>
      <c r="L52" t="s">
        <v>184</v>
      </c>
      <c r="M52" s="1" t="s">
        <v>187</v>
      </c>
    </row>
    <row r="53" spans="1:13" x14ac:dyDescent="0.25">
      <c r="A53" s="1" t="s">
        <v>49</v>
      </c>
      <c r="B53" s="1" t="s">
        <v>155</v>
      </c>
      <c r="C53" s="1">
        <v>359.41899999999998</v>
      </c>
      <c r="D53" s="1">
        <v>2.1</v>
      </c>
      <c r="E53" s="1">
        <v>4.4400000000000004</v>
      </c>
      <c r="F53" s="1">
        <f>AVERAGE(130,144)</f>
        <v>137</v>
      </c>
      <c r="G53" s="1">
        <f t="shared" si="0"/>
        <v>5.8427629034636463E-6</v>
      </c>
      <c r="H53" s="1">
        <f t="shared" si="1"/>
        <v>-5.23</v>
      </c>
      <c r="I53" s="1">
        <f t="shared" si="2"/>
        <v>-5.0599999999999996</v>
      </c>
      <c r="J53" s="1">
        <f t="shared" si="3"/>
        <v>0.17000000000000082</v>
      </c>
      <c r="K53" s="1" t="s">
        <v>184</v>
      </c>
      <c r="L53" t="s">
        <v>184</v>
      </c>
      <c r="M53" s="1" t="s">
        <v>187</v>
      </c>
    </row>
    <row r="54" spans="1:13" x14ac:dyDescent="0.25">
      <c r="A54" s="1" t="s">
        <v>50</v>
      </c>
      <c r="B54" s="1" t="s">
        <v>99</v>
      </c>
      <c r="C54" s="1">
        <v>317.40699999999998</v>
      </c>
      <c r="D54" s="1">
        <v>8.9</v>
      </c>
      <c r="E54" s="1">
        <v>3.3</v>
      </c>
      <c r="F54" s="1">
        <v>111</v>
      </c>
      <c r="G54" s="1">
        <f t="shared" si="0"/>
        <v>2.803970926917176E-5</v>
      </c>
      <c r="H54" s="1">
        <f t="shared" si="1"/>
        <v>-4.55</v>
      </c>
      <c r="I54" s="1">
        <f t="shared" si="2"/>
        <v>-3.66</v>
      </c>
      <c r="J54" s="1">
        <f t="shared" si="3"/>
        <v>0.88999999999999968</v>
      </c>
      <c r="K54" s="1" t="s">
        <v>184</v>
      </c>
      <c r="L54" t="s">
        <v>184</v>
      </c>
      <c r="M54" s="1" t="s">
        <v>187</v>
      </c>
    </row>
    <row r="55" spans="1:13" x14ac:dyDescent="0.25">
      <c r="A55" s="1" t="s">
        <v>51</v>
      </c>
      <c r="B55" s="1" t="s">
        <v>156</v>
      </c>
      <c r="C55" s="1">
        <v>367.322</v>
      </c>
      <c r="D55" s="1">
        <v>2.1</v>
      </c>
      <c r="E55" s="1">
        <v>3.6</v>
      </c>
      <c r="F55" s="1">
        <v>75</v>
      </c>
      <c r="G55" s="1">
        <f t="shared" si="0"/>
        <v>5.7170547911641566E-6</v>
      </c>
      <c r="H55" s="1">
        <f t="shared" si="1"/>
        <v>-5.24</v>
      </c>
      <c r="I55" s="1">
        <f t="shared" si="2"/>
        <v>-3.6</v>
      </c>
      <c r="J55" s="1">
        <f t="shared" si="3"/>
        <v>1.6400000000000001</v>
      </c>
      <c r="K55" s="1" t="s">
        <v>184</v>
      </c>
      <c r="L55" t="s">
        <v>184</v>
      </c>
      <c r="M55" s="1" t="s">
        <v>187</v>
      </c>
    </row>
    <row r="56" spans="1:13" x14ac:dyDescent="0.25">
      <c r="A56" s="1" t="s">
        <v>52</v>
      </c>
      <c r="B56" s="1" t="s">
        <v>157</v>
      </c>
      <c r="C56" s="1">
        <v>376.67</v>
      </c>
      <c r="D56" s="1">
        <v>198</v>
      </c>
      <c r="E56" s="1">
        <v>3.53</v>
      </c>
      <c r="F56" s="1">
        <f>AVERAGE(46,50)</f>
        <v>48</v>
      </c>
      <c r="G56" s="1">
        <f t="shared" si="0"/>
        <v>5.2565906496402693E-4</v>
      </c>
      <c r="H56" s="1">
        <f t="shared" si="1"/>
        <v>-3.28</v>
      </c>
      <c r="I56" s="1">
        <f t="shared" si="2"/>
        <v>-3.26</v>
      </c>
      <c r="J56" s="1">
        <f t="shared" si="3"/>
        <v>2.0000000000000018E-2</v>
      </c>
      <c r="K56" s="1" t="s">
        <v>184</v>
      </c>
      <c r="L56" t="s">
        <v>184</v>
      </c>
      <c r="M56" s="1" t="s">
        <v>187</v>
      </c>
    </row>
    <row r="57" spans="1:13" x14ac:dyDescent="0.25">
      <c r="A57" s="1" t="s">
        <v>53</v>
      </c>
      <c r="B57" s="1" t="s">
        <v>158</v>
      </c>
      <c r="C57" s="1">
        <v>342.22500000000002</v>
      </c>
      <c r="D57" s="1">
        <v>428</v>
      </c>
      <c r="E57" s="1">
        <v>3.72</v>
      </c>
      <c r="F57" s="1">
        <v>-23</v>
      </c>
      <c r="G57" s="1">
        <f t="shared" si="0"/>
        <v>1.250639199357148E-3</v>
      </c>
      <c r="H57" s="1">
        <f t="shared" si="1"/>
        <v>-2.9</v>
      </c>
      <c r="I57" s="1">
        <f t="shared" si="2"/>
        <v>-2.74</v>
      </c>
      <c r="J57" s="1">
        <f t="shared" si="3"/>
        <v>0.1599999999999997</v>
      </c>
      <c r="K57" s="1" t="s">
        <v>184</v>
      </c>
      <c r="L57" t="s">
        <v>184</v>
      </c>
      <c r="M57" s="1" t="s">
        <v>187</v>
      </c>
    </row>
    <row r="58" spans="1:13" x14ac:dyDescent="0.25">
      <c r="A58" s="1" t="s">
        <v>54</v>
      </c>
      <c r="B58" s="1" t="s">
        <v>159</v>
      </c>
      <c r="C58" s="1">
        <v>344.26499999999999</v>
      </c>
      <c r="D58" s="1">
        <v>68.900000000000006</v>
      </c>
      <c r="E58" s="1">
        <v>3.82</v>
      </c>
      <c r="F58" s="1">
        <f>AVERAGE(139,144)</f>
        <v>141.5</v>
      </c>
      <c r="G58" s="1">
        <f t="shared" si="0"/>
        <v>2.0013652273684519E-4</v>
      </c>
      <c r="H58" s="1">
        <f t="shared" si="1"/>
        <v>-3.7</v>
      </c>
      <c r="I58" s="1">
        <f t="shared" si="2"/>
        <v>-4.49</v>
      </c>
      <c r="J58" s="1">
        <f t="shared" si="3"/>
        <v>0.79</v>
      </c>
      <c r="K58" s="1" t="s">
        <v>183</v>
      </c>
      <c r="L58" t="s">
        <v>184</v>
      </c>
      <c r="M58" s="1" t="s">
        <v>187</v>
      </c>
    </row>
    <row r="59" spans="1:13" x14ac:dyDescent="0.25">
      <c r="A59" s="1" t="s">
        <v>55</v>
      </c>
      <c r="B59" s="1" t="s">
        <v>160</v>
      </c>
      <c r="C59" s="1">
        <v>331.36500000000001</v>
      </c>
      <c r="D59" s="1">
        <v>9.6</v>
      </c>
      <c r="E59" s="1">
        <v>3.3</v>
      </c>
      <c r="F59" s="1">
        <v>121</v>
      </c>
      <c r="G59" s="1">
        <f t="shared" si="0"/>
        <v>2.8971074193110312E-5</v>
      </c>
      <c r="H59" s="1">
        <f t="shared" si="1"/>
        <v>-4.54</v>
      </c>
      <c r="I59" s="1">
        <f t="shared" si="2"/>
        <v>-3.76</v>
      </c>
      <c r="J59" s="1">
        <f t="shared" si="3"/>
        <v>0.78000000000000025</v>
      </c>
      <c r="K59" s="1" t="s">
        <v>184</v>
      </c>
      <c r="L59" t="s">
        <v>184</v>
      </c>
      <c r="M59" s="1" t="s">
        <v>187</v>
      </c>
    </row>
    <row r="60" spans="1:13" x14ac:dyDescent="0.25">
      <c r="A60" s="1" t="s">
        <v>56</v>
      </c>
      <c r="B60" s="1" t="s">
        <v>161</v>
      </c>
      <c r="C60" s="1">
        <v>307.82400000000001</v>
      </c>
      <c r="D60" s="1">
        <v>39</v>
      </c>
      <c r="E60" s="1">
        <v>3.7</v>
      </c>
      <c r="F60" s="1">
        <v>105</v>
      </c>
      <c r="G60" s="1">
        <f t="shared" si="0"/>
        <v>1.2669577420863871E-4</v>
      </c>
      <c r="H60" s="1">
        <f t="shared" si="1"/>
        <v>-3.9</v>
      </c>
      <c r="I60" s="1">
        <f t="shared" si="2"/>
        <v>-4</v>
      </c>
      <c r="J60" s="1">
        <f t="shared" si="3"/>
        <v>0.10000000000000009</v>
      </c>
      <c r="K60" s="1" t="s">
        <v>184</v>
      </c>
      <c r="L60" t="s">
        <v>184</v>
      </c>
      <c r="M60" s="1" t="s">
        <v>187</v>
      </c>
    </row>
    <row r="61" spans="1:13" x14ac:dyDescent="0.25">
      <c r="A61" s="1" t="s">
        <v>57</v>
      </c>
      <c r="B61" s="1" t="s">
        <v>100</v>
      </c>
      <c r="C61" s="1">
        <v>342.399</v>
      </c>
      <c r="D61" s="1">
        <v>28.3</v>
      </c>
      <c r="E61" s="1">
        <v>1.44</v>
      </c>
      <c r="F61" s="1">
        <v>165</v>
      </c>
      <c r="G61" s="1">
        <f t="shared" si="0"/>
        <v>8.2652110549388295E-5</v>
      </c>
      <c r="H61" s="1">
        <f t="shared" si="1"/>
        <v>-4.08</v>
      </c>
      <c r="I61" s="1">
        <f t="shared" si="2"/>
        <v>-2.34</v>
      </c>
      <c r="J61" s="1">
        <f t="shared" si="3"/>
        <v>1.7400000000000002</v>
      </c>
      <c r="K61" s="1" t="s">
        <v>183</v>
      </c>
      <c r="L61" t="s">
        <v>184</v>
      </c>
      <c r="M61" s="1" t="s">
        <v>187</v>
      </c>
    </row>
    <row r="62" spans="1:13" x14ac:dyDescent="0.25">
      <c r="A62" s="1" t="s">
        <v>58</v>
      </c>
      <c r="B62" s="1" t="s">
        <v>162</v>
      </c>
      <c r="C62" s="1">
        <v>408.375</v>
      </c>
      <c r="D62" s="1">
        <v>1.8</v>
      </c>
      <c r="E62" s="1">
        <v>4.5</v>
      </c>
      <c r="F62" s="1">
        <v>73</v>
      </c>
      <c r="G62" s="1">
        <f t="shared" si="0"/>
        <v>4.4077134986225902E-6</v>
      </c>
      <c r="H62" s="1">
        <f t="shared" si="1"/>
        <v>-5.36</v>
      </c>
      <c r="I62" s="1">
        <f t="shared" si="2"/>
        <v>-4.4800000000000004</v>
      </c>
      <c r="J62" s="1">
        <f t="shared" si="3"/>
        <v>0.87999999999999989</v>
      </c>
      <c r="K62" s="1" t="s">
        <v>184</v>
      </c>
      <c r="L62" t="s">
        <v>184</v>
      </c>
      <c r="M62" s="1" t="s">
        <v>187</v>
      </c>
    </row>
    <row r="63" spans="1:13" x14ac:dyDescent="0.25">
      <c r="A63" s="1" t="s">
        <v>59</v>
      </c>
      <c r="B63" s="1" t="s">
        <v>114</v>
      </c>
      <c r="C63" s="1">
        <v>221.03899999999999</v>
      </c>
      <c r="D63" s="1">
        <v>669</v>
      </c>
      <c r="E63" s="1">
        <v>0.17699999999999999</v>
      </c>
      <c r="F63" s="1">
        <v>140</v>
      </c>
      <c r="G63" s="1">
        <f t="shared" si="0"/>
        <v>3.026615212700022E-3</v>
      </c>
      <c r="H63" s="1">
        <f t="shared" si="1"/>
        <v>-2.52</v>
      </c>
      <c r="I63" s="1">
        <f t="shared" si="2"/>
        <v>-0.83</v>
      </c>
      <c r="J63" s="1">
        <f t="shared" si="3"/>
        <v>1.69</v>
      </c>
      <c r="K63" s="1" t="s">
        <v>183</v>
      </c>
      <c r="L63" t="s">
        <v>184</v>
      </c>
      <c r="M63" s="1" t="s">
        <v>188</v>
      </c>
    </row>
    <row r="64" spans="1:13" x14ac:dyDescent="0.25">
      <c r="A64" s="1" t="s">
        <v>60</v>
      </c>
      <c r="B64" s="1" t="s">
        <v>163</v>
      </c>
      <c r="C64" s="1">
        <v>207.01599999999999</v>
      </c>
      <c r="D64" s="1">
        <v>977</v>
      </c>
      <c r="E64" s="1">
        <v>-2.87</v>
      </c>
      <c r="F64" s="1">
        <v>164</v>
      </c>
      <c r="G64" s="1">
        <f t="shared" si="0"/>
        <v>4.7194419754994785E-3</v>
      </c>
      <c r="H64" s="1">
        <f t="shared" si="1"/>
        <v>-2.33</v>
      </c>
      <c r="I64" s="1">
        <f t="shared" si="2"/>
        <v>1.98</v>
      </c>
      <c r="J64" s="1">
        <f t="shared" si="3"/>
        <v>4.3100000000000005</v>
      </c>
      <c r="K64" s="1" t="s">
        <v>183</v>
      </c>
      <c r="L64" t="s">
        <v>184</v>
      </c>
      <c r="M64" s="1" t="s">
        <v>188</v>
      </c>
    </row>
    <row r="65" spans="1:13" x14ac:dyDescent="0.25">
      <c r="A65" s="1" t="s">
        <v>61</v>
      </c>
      <c r="B65" s="1" t="s">
        <v>101</v>
      </c>
      <c r="C65" s="1">
        <v>452.35399999999998</v>
      </c>
      <c r="D65" s="1">
        <v>104</v>
      </c>
      <c r="E65" s="1">
        <v>-1.03</v>
      </c>
      <c r="F65" s="1">
        <f>AVERAGE(223,224)</f>
        <v>223.5</v>
      </c>
      <c r="G65" s="1">
        <f t="shared" si="0"/>
        <v>2.299084345446266E-4</v>
      </c>
      <c r="H65" s="1">
        <f t="shared" si="1"/>
        <v>-3.64</v>
      </c>
      <c r="I65" s="1">
        <f t="shared" si="2"/>
        <v>-0.46</v>
      </c>
      <c r="J65" s="1">
        <f t="shared" si="3"/>
        <v>3.18</v>
      </c>
      <c r="K65" s="1" t="s">
        <v>184</v>
      </c>
      <c r="L65" t="s">
        <v>183</v>
      </c>
      <c r="M65" s="1" t="s">
        <v>188</v>
      </c>
    </row>
    <row r="66" spans="1:13" x14ac:dyDescent="0.25">
      <c r="A66" s="1" t="s">
        <v>62</v>
      </c>
      <c r="B66" s="1" t="s">
        <v>164</v>
      </c>
      <c r="C66" s="1">
        <v>192.001</v>
      </c>
      <c r="D66" s="1">
        <v>852</v>
      </c>
      <c r="E66" s="1">
        <v>-2.63</v>
      </c>
      <c r="F66" s="1">
        <f>AVERAGE(151,512)</f>
        <v>331.5</v>
      </c>
      <c r="G66" s="1">
        <f t="shared" si="0"/>
        <v>4.4374768881412074E-3</v>
      </c>
      <c r="H66" s="1">
        <f t="shared" si="1"/>
        <v>-2.35</v>
      </c>
      <c r="I66" s="1">
        <f t="shared" si="2"/>
        <v>0.06</v>
      </c>
      <c r="J66" s="1">
        <f t="shared" si="3"/>
        <v>2.41</v>
      </c>
      <c r="K66" s="1" t="s">
        <v>183</v>
      </c>
      <c r="L66" t="s">
        <v>184</v>
      </c>
      <c r="M66" s="1" t="s">
        <v>188</v>
      </c>
    </row>
    <row r="67" spans="1:13" x14ac:dyDescent="0.25">
      <c r="A67" s="1" t="s">
        <v>63</v>
      </c>
      <c r="B67" s="1" t="s">
        <v>165</v>
      </c>
      <c r="C67" s="1">
        <v>221.03899999999999</v>
      </c>
      <c r="D67" s="1">
        <v>1034</v>
      </c>
      <c r="E67" s="1">
        <v>-1.88</v>
      </c>
      <c r="F67" s="1">
        <f>AVERAGE(114,116)</f>
        <v>115</v>
      </c>
      <c r="G67" s="1">
        <f t="shared" ref="G67:G87" si="4">D67*(1/1000)*(1/C67)</f>
        <v>4.6779075185826944E-3</v>
      </c>
      <c r="H67" s="1">
        <f t="shared" ref="H67:H87" si="5">ROUND(LOG10(G67),2)</f>
        <v>-2.33</v>
      </c>
      <c r="I67" s="1">
        <f t="shared" ref="I67:I87" si="6">ROUND(0.5-0.01*(F67-25)-E67,2)</f>
        <v>1.48</v>
      </c>
      <c r="J67" s="1">
        <f t="shared" ref="J67:J87" si="7">ABS(H67-I67)</f>
        <v>3.81</v>
      </c>
      <c r="K67" s="1" t="s">
        <v>184</v>
      </c>
      <c r="L67" t="s">
        <v>184</v>
      </c>
      <c r="M67" s="1" t="s">
        <v>188</v>
      </c>
    </row>
    <row r="68" spans="1:13" x14ac:dyDescent="0.25">
      <c r="A68" s="1" t="s">
        <v>64</v>
      </c>
      <c r="B68" s="1" t="s">
        <v>102</v>
      </c>
      <c r="C68" s="1">
        <v>255.03200000000001</v>
      </c>
      <c r="D68" s="1">
        <v>630</v>
      </c>
      <c r="E68" s="1">
        <v>-1.24</v>
      </c>
      <c r="F68" s="1">
        <f>AVERAGE(232,233)</f>
        <v>232.5</v>
      </c>
      <c r="G68" s="1">
        <f t="shared" si="4"/>
        <v>2.4702782395934625E-3</v>
      </c>
      <c r="H68" s="1">
        <f t="shared" si="5"/>
        <v>-2.61</v>
      </c>
      <c r="I68" s="1">
        <f t="shared" si="6"/>
        <v>-0.34</v>
      </c>
      <c r="J68" s="1">
        <f t="shared" si="7"/>
        <v>2.27</v>
      </c>
      <c r="K68" s="1" t="s">
        <v>183</v>
      </c>
      <c r="L68" t="s">
        <v>184</v>
      </c>
      <c r="M68" s="1" t="s">
        <v>188</v>
      </c>
    </row>
    <row r="69" spans="1:13" x14ac:dyDescent="0.25">
      <c r="A69" s="1" t="s">
        <v>65</v>
      </c>
      <c r="B69" s="1" t="s">
        <v>103</v>
      </c>
      <c r="C69" s="1">
        <v>367.24700000000001</v>
      </c>
      <c r="D69" s="1">
        <v>1</v>
      </c>
      <c r="E69" s="1">
        <v>5.04</v>
      </c>
      <c r="F69" s="1">
        <f>AVERAGE(58,60)</f>
        <v>59</v>
      </c>
      <c r="G69" s="1">
        <f t="shared" si="4"/>
        <v>2.722963019439233E-6</v>
      </c>
      <c r="H69" s="1">
        <f t="shared" si="5"/>
        <v>-5.56</v>
      </c>
      <c r="I69" s="1">
        <f t="shared" si="6"/>
        <v>-4.88</v>
      </c>
      <c r="J69" s="1">
        <f t="shared" si="7"/>
        <v>0.67999999999999972</v>
      </c>
      <c r="K69" s="1" t="s">
        <v>183</v>
      </c>
      <c r="L69" t="s">
        <v>183</v>
      </c>
      <c r="M69" s="1" t="s">
        <v>188</v>
      </c>
    </row>
    <row r="70" spans="1:13" x14ac:dyDescent="0.25">
      <c r="A70" s="1" t="s">
        <v>66</v>
      </c>
      <c r="B70" s="1" t="s">
        <v>104</v>
      </c>
      <c r="C70" s="1">
        <v>331.12900000000002</v>
      </c>
      <c r="D70" s="1">
        <v>127</v>
      </c>
      <c r="E70" s="1">
        <v>-0.83</v>
      </c>
      <c r="F70" s="1">
        <f>AVERAGE(167,169)</f>
        <v>168</v>
      </c>
      <c r="G70" s="1">
        <f t="shared" si="4"/>
        <v>3.8353632572199958E-4</v>
      </c>
      <c r="H70" s="1">
        <f t="shared" si="5"/>
        <v>-3.42</v>
      </c>
      <c r="I70" s="1">
        <f t="shared" si="6"/>
        <v>-0.1</v>
      </c>
      <c r="J70" s="1">
        <f t="shared" si="7"/>
        <v>3.32</v>
      </c>
      <c r="K70" s="1" t="s">
        <v>183</v>
      </c>
      <c r="L70" t="s">
        <v>184</v>
      </c>
      <c r="M70" s="1" t="s">
        <v>188</v>
      </c>
    </row>
    <row r="71" spans="1:13" x14ac:dyDescent="0.25">
      <c r="A71" s="1" t="s">
        <v>67</v>
      </c>
      <c r="B71" s="1" t="s">
        <v>166</v>
      </c>
      <c r="C71" s="1">
        <v>345.15600000000001</v>
      </c>
      <c r="D71" s="1">
        <v>3</v>
      </c>
      <c r="E71" s="1">
        <v>3.76</v>
      </c>
      <c r="F71" s="1">
        <v>146</v>
      </c>
      <c r="G71" s="1">
        <f t="shared" si="4"/>
        <v>8.691722003963425E-6</v>
      </c>
      <c r="H71" s="1">
        <f t="shared" si="5"/>
        <v>-5.0599999999999996</v>
      </c>
      <c r="I71" s="1">
        <f t="shared" si="6"/>
        <v>-4.47</v>
      </c>
      <c r="J71" s="1">
        <f t="shared" si="7"/>
        <v>0.58999999999999986</v>
      </c>
      <c r="K71" s="1" t="s">
        <v>183</v>
      </c>
      <c r="L71" t="s">
        <v>184</v>
      </c>
      <c r="M71" s="1" t="s">
        <v>188</v>
      </c>
    </row>
    <row r="72" spans="1:13" x14ac:dyDescent="0.25">
      <c r="A72" s="1" t="s">
        <v>68</v>
      </c>
      <c r="B72" s="1" t="s">
        <v>105</v>
      </c>
      <c r="C72" s="1">
        <v>305.33300000000003</v>
      </c>
      <c r="D72" s="1">
        <v>366</v>
      </c>
      <c r="E72" s="1">
        <v>0.73</v>
      </c>
      <c r="F72" s="1">
        <f>AVERAGE(165,167)</f>
        <v>166</v>
      </c>
      <c r="G72" s="1">
        <f t="shared" si="4"/>
        <v>1.1986912649467956E-3</v>
      </c>
      <c r="H72" s="1">
        <f t="shared" si="5"/>
        <v>-2.92</v>
      </c>
      <c r="I72" s="1">
        <f t="shared" si="6"/>
        <v>-1.64</v>
      </c>
      <c r="J72" s="1">
        <f t="shared" si="7"/>
        <v>1.28</v>
      </c>
      <c r="K72" s="1" t="s">
        <v>183</v>
      </c>
      <c r="L72" t="s">
        <v>184</v>
      </c>
      <c r="M72" s="1" t="s">
        <v>188</v>
      </c>
    </row>
    <row r="73" spans="1:13" x14ac:dyDescent="0.25">
      <c r="A73" s="1" t="s">
        <v>69</v>
      </c>
      <c r="B73" s="1" t="s">
        <v>106</v>
      </c>
      <c r="C73" s="1">
        <v>503.512</v>
      </c>
      <c r="D73" s="1">
        <v>55</v>
      </c>
      <c r="E73" s="1">
        <v>-0.48</v>
      </c>
      <c r="F73" s="1">
        <v>195</v>
      </c>
      <c r="G73" s="1">
        <f t="shared" si="4"/>
        <v>1.0923274916983111E-4</v>
      </c>
      <c r="H73" s="1">
        <f t="shared" si="5"/>
        <v>-3.96</v>
      </c>
      <c r="I73" s="1">
        <f t="shared" si="6"/>
        <v>-0.72</v>
      </c>
      <c r="J73" s="1">
        <f t="shared" si="7"/>
        <v>3.24</v>
      </c>
      <c r="K73" s="1" t="s">
        <v>183</v>
      </c>
      <c r="L73" t="s">
        <v>183</v>
      </c>
      <c r="M73" s="1" t="s">
        <v>188</v>
      </c>
    </row>
    <row r="74" spans="1:13" x14ac:dyDescent="0.25">
      <c r="A74" s="1" t="s">
        <v>70</v>
      </c>
      <c r="B74" s="1" t="s">
        <v>167</v>
      </c>
      <c r="C74" s="1">
        <v>339.32299999999998</v>
      </c>
      <c r="D74" s="1">
        <v>212</v>
      </c>
      <c r="E74" s="1">
        <v>-1</v>
      </c>
      <c r="F74" s="1">
        <v>165</v>
      </c>
      <c r="G74" s="1">
        <f t="shared" si="4"/>
        <v>6.2477344594972931E-4</v>
      </c>
      <c r="H74" s="1">
        <f t="shared" si="5"/>
        <v>-3.2</v>
      </c>
      <c r="I74" s="1">
        <f t="shared" si="6"/>
        <v>0.1</v>
      </c>
      <c r="J74" s="1">
        <f t="shared" si="7"/>
        <v>3.3000000000000003</v>
      </c>
      <c r="K74" s="1" t="s">
        <v>183</v>
      </c>
      <c r="L74" t="s">
        <v>184</v>
      </c>
      <c r="M74" s="1" t="s">
        <v>188</v>
      </c>
    </row>
    <row r="75" spans="1:13" x14ac:dyDescent="0.25">
      <c r="A75" s="1" t="s">
        <v>71</v>
      </c>
      <c r="B75" s="1" t="s">
        <v>168</v>
      </c>
      <c r="C75" s="1">
        <v>400.517</v>
      </c>
      <c r="D75" s="1">
        <v>201</v>
      </c>
      <c r="E75" s="1">
        <v>3.2</v>
      </c>
      <c r="F75" s="1">
        <f>AVERAGE(120,122)</f>
        <v>121</v>
      </c>
      <c r="G75" s="1">
        <f t="shared" si="4"/>
        <v>5.0185135712092126E-4</v>
      </c>
      <c r="H75" s="1">
        <f t="shared" si="5"/>
        <v>-3.3</v>
      </c>
      <c r="I75" s="1">
        <f t="shared" si="6"/>
        <v>-3.66</v>
      </c>
      <c r="J75" s="1">
        <f t="shared" si="7"/>
        <v>0.36000000000000032</v>
      </c>
      <c r="K75" s="1" t="s">
        <v>184</v>
      </c>
      <c r="L75" t="s">
        <v>184</v>
      </c>
      <c r="M75" s="1" t="s">
        <v>188</v>
      </c>
    </row>
    <row r="76" spans="1:13" x14ac:dyDescent="0.25">
      <c r="A76" s="1" t="s">
        <v>72</v>
      </c>
      <c r="B76" s="1" t="s">
        <v>169</v>
      </c>
      <c r="C76" s="1">
        <v>362.327</v>
      </c>
      <c r="D76" s="1">
        <v>339</v>
      </c>
      <c r="E76" s="1">
        <v>-1.36</v>
      </c>
      <c r="F76" s="1">
        <v>201</v>
      </c>
      <c r="G76" s="1">
        <f t="shared" si="4"/>
        <v>9.3561892986169961E-4</v>
      </c>
      <c r="H76" s="1">
        <f t="shared" si="5"/>
        <v>-3.03</v>
      </c>
      <c r="I76" s="1">
        <f t="shared" si="6"/>
        <v>0.1</v>
      </c>
      <c r="J76" s="1">
        <f t="shared" si="7"/>
        <v>3.13</v>
      </c>
      <c r="K76" s="1" t="s">
        <v>183</v>
      </c>
      <c r="L76" t="s">
        <v>184</v>
      </c>
      <c r="M76" s="1" t="s">
        <v>188</v>
      </c>
    </row>
    <row r="77" spans="1:13" x14ac:dyDescent="0.25">
      <c r="A77" s="1" t="s">
        <v>73</v>
      </c>
      <c r="B77" s="1" t="s">
        <v>170</v>
      </c>
      <c r="C77" s="1">
        <v>434.35399999999998</v>
      </c>
      <c r="D77" s="1">
        <v>155</v>
      </c>
      <c r="E77" s="1">
        <v>-1.01</v>
      </c>
      <c r="F77" s="1">
        <v>208</v>
      </c>
      <c r="G77" s="1">
        <f t="shared" si="4"/>
        <v>3.5685178448914941E-4</v>
      </c>
      <c r="H77" s="1">
        <f t="shared" si="5"/>
        <v>-3.45</v>
      </c>
      <c r="I77" s="1">
        <f t="shared" si="6"/>
        <v>-0.32</v>
      </c>
      <c r="J77" s="1">
        <f t="shared" si="7"/>
        <v>3.1300000000000003</v>
      </c>
      <c r="K77" s="1" t="s">
        <v>183</v>
      </c>
      <c r="L77" t="s">
        <v>183</v>
      </c>
      <c r="M77" s="1" t="s">
        <v>188</v>
      </c>
    </row>
    <row r="78" spans="1:13" x14ac:dyDescent="0.25">
      <c r="A78" s="1" t="s">
        <v>74</v>
      </c>
      <c r="B78" s="1" t="s">
        <v>171</v>
      </c>
      <c r="C78" s="1">
        <v>242.06100000000001</v>
      </c>
      <c r="D78" s="1">
        <v>256</v>
      </c>
      <c r="E78" s="1">
        <v>-0.74</v>
      </c>
      <c r="F78" s="1">
        <v>274</v>
      </c>
      <c r="G78" s="1">
        <f t="shared" si="4"/>
        <v>1.0575846584125487E-3</v>
      </c>
      <c r="H78" s="1">
        <f t="shared" si="5"/>
        <v>-2.98</v>
      </c>
      <c r="I78" s="1">
        <f t="shared" si="6"/>
        <v>-1.25</v>
      </c>
      <c r="J78" s="1">
        <f t="shared" si="7"/>
        <v>1.73</v>
      </c>
      <c r="K78" s="1" t="s">
        <v>183</v>
      </c>
      <c r="L78" t="s">
        <v>184</v>
      </c>
      <c r="M78" s="1" t="s">
        <v>188</v>
      </c>
    </row>
    <row r="79" spans="1:13" x14ac:dyDescent="0.25">
      <c r="A79" s="1" t="s">
        <v>75</v>
      </c>
      <c r="B79" s="1" t="s">
        <v>172</v>
      </c>
      <c r="C79" s="1">
        <v>390.39600000000002</v>
      </c>
      <c r="D79" s="1">
        <v>245</v>
      </c>
      <c r="E79" s="1">
        <v>-1.98</v>
      </c>
      <c r="F79" s="1">
        <v>206</v>
      </c>
      <c r="G79" s="1">
        <f t="shared" si="4"/>
        <v>6.2756790540886679E-4</v>
      </c>
      <c r="H79" s="1">
        <f t="shared" si="5"/>
        <v>-3.2</v>
      </c>
      <c r="I79" s="1">
        <f t="shared" si="6"/>
        <v>0.67</v>
      </c>
      <c r="J79" s="1">
        <f t="shared" si="7"/>
        <v>3.87</v>
      </c>
      <c r="K79" s="1" t="s">
        <v>183</v>
      </c>
      <c r="L79" t="s">
        <v>183</v>
      </c>
      <c r="M79" s="1" t="s">
        <v>188</v>
      </c>
    </row>
    <row r="80" spans="1:13" x14ac:dyDescent="0.25">
      <c r="A80" s="1" t="s">
        <v>76</v>
      </c>
      <c r="B80" s="1" t="s">
        <v>107</v>
      </c>
      <c r="C80" s="1">
        <v>329.43799999999999</v>
      </c>
      <c r="D80" s="1">
        <v>140</v>
      </c>
      <c r="E80" s="1">
        <v>2.1</v>
      </c>
      <c r="F80" s="1">
        <v>106</v>
      </c>
      <c r="G80" s="1">
        <f t="shared" si="4"/>
        <v>4.2496615448126815E-4</v>
      </c>
      <c r="H80" s="1">
        <f t="shared" si="5"/>
        <v>-3.37</v>
      </c>
      <c r="I80" s="1">
        <f t="shared" si="6"/>
        <v>-2.41</v>
      </c>
      <c r="J80" s="1">
        <f t="shared" si="7"/>
        <v>0.96</v>
      </c>
      <c r="K80" s="1" t="s">
        <v>184</v>
      </c>
      <c r="L80" t="s">
        <v>184</v>
      </c>
      <c r="M80" s="1" t="s">
        <v>188</v>
      </c>
    </row>
    <row r="81" spans="1:13" x14ac:dyDescent="0.25">
      <c r="A81" s="1" t="s">
        <v>77</v>
      </c>
      <c r="B81" s="1" t="s">
        <v>173</v>
      </c>
      <c r="C81" s="1">
        <v>395.39499999999998</v>
      </c>
      <c r="D81" s="1">
        <v>211</v>
      </c>
      <c r="E81" s="1">
        <v>0.78</v>
      </c>
      <c r="F81" s="1">
        <v>142</v>
      </c>
      <c r="G81" s="1">
        <f t="shared" si="4"/>
        <v>5.3364357161825521E-4</v>
      </c>
      <c r="H81" s="1">
        <f t="shared" si="5"/>
        <v>-3.27</v>
      </c>
      <c r="I81" s="1">
        <f t="shared" si="6"/>
        <v>-1.45</v>
      </c>
      <c r="J81" s="1">
        <f t="shared" si="7"/>
        <v>1.82</v>
      </c>
      <c r="K81" s="1" t="s">
        <v>183</v>
      </c>
      <c r="L81" t="s">
        <v>183</v>
      </c>
      <c r="M81" s="1" t="s">
        <v>188</v>
      </c>
    </row>
    <row r="82" spans="1:13" x14ac:dyDescent="0.25">
      <c r="A82" s="1" t="s">
        <v>78</v>
      </c>
      <c r="B82" s="1" t="s">
        <v>174</v>
      </c>
      <c r="C82" s="1">
        <v>215.68700000000001</v>
      </c>
      <c r="D82" s="1">
        <v>32</v>
      </c>
      <c r="E82" s="1">
        <v>2.5</v>
      </c>
      <c r="F82" s="1">
        <v>176</v>
      </c>
      <c r="G82" s="1">
        <f t="shared" si="4"/>
        <v>1.4836313732399261E-4</v>
      </c>
      <c r="H82" s="1">
        <f t="shared" si="5"/>
        <v>-3.83</v>
      </c>
      <c r="I82" s="1">
        <f t="shared" si="6"/>
        <v>-3.51</v>
      </c>
      <c r="J82" s="1">
        <f t="shared" si="7"/>
        <v>0.32000000000000028</v>
      </c>
      <c r="K82" s="1" t="s">
        <v>184</v>
      </c>
      <c r="L82" t="s">
        <v>184</v>
      </c>
      <c r="M82" s="1" t="s">
        <v>188</v>
      </c>
    </row>
    <row r="83" spans="1:13" x14ac:dyDescent="0.25">
      <c r="A83" s="1" t="s">
        <v>79</v>
      </c>
      <c r="B83" s="1" t="s">
        <v>108</v>
      </c>
      <c r="C83" s="1">
        <v>240.28200000000001</v>
      </c>
      <c r="D83" s="1">
        <v>792</v>
      </c>
      <c r="E83" s="1">
        <v>-0.46</v>
      </c>
      <c r="F83" s="1">
        <v>138</v>
      </c>
      <c r="G83" s="1">
        <f t="shared" si="4"/>
        <v>3.2961270507154091E-3</v>
      </c>
      <c r="H83" s="1">
        <f t="shared" si="5"/>
        <v>-2.48</v>
      </c>
      <c r="I83" s="1">
        <f t="shared" si="6"/>
        <v>-0.17</v>
      </c>
      <c r="J83" s="1">
        <f t="shared" si="7"/>
        <v>2.31</v>
      </c>
      <c r="K83" s="1" t="s">
        <v>183</v>
      </c>
      <c r="L83" t="s">
        <v>184</v>
      </c>
      <c r="M83" s="1" t="s">
        <v>188</v>
      </c>
    </row>
    <row r="84" spans="1:13" x14ac:dyDescent="0.25">
      <c r="A84" s="1" t="s">
        <v>80</v>
      </c>
      <c r="B84" s="1" t="s">
        <v>109</v>
      </c>
      <c r="C84" s="1">
        <v>276.91500000000002</v>
      </c>
      <c r="D84" s="1">
        <v>152</v>
      </c>
      <c r="E84" s="1">
        <v>1.04</v>
      </c>
      <c r="F84" s="1">
        <f>AVERAGE(194,195)</f>
        <v>194.5</v>
      </c>
      <c r="G84" s="1">
        <f t="shared" si="4"/>
        <v>5.4890489861509836E-4</v>
      </c>
      <c r="H84" s="1">
        <f t="shared" si="5"/>
        <v>-3.26</v>
      </c>
      <c r="I84" s="1">
        <f t="shared" si="6"/>
        <v>-2.2400000000000002</v>
      </c>
      <c r="J84" s="1">
        <f t="shared" si="7"/>
        <v>1.0199999999999996</v>
      </c>
      <c r="K84" s="1" t="s">
        <v>184</v>
      </c>
      <c r="L84" t="s">
        <v>184</v>
      </c>
      <c r="M84" s="1" t="s">
        <v>188</v>
      </c>
    </row>
    <row r="85" spans="1:13" x14ac:dyDescent="0.25">
      <c r="A85" s="1" t="s">
        <v>81</v>
      </c>
      <c r="B85" s="1" t="s">
        <v>175</v>
      </c>
      <c r="C85" s="1">
        <v>412.19400000000002</v>
      </c>
      <c r="D85" s="1">
        <v>28</v>
      </c>
      <c r="E85" s="1">
        <v>3.36</v>
      </c>
      <c r="F85" s="1">
        <v>-22</v>
      </c>
      <c r="G85" s="1">
        <f t="shared" si="4"/>
        <v>6.7929178978830352E-5</v>
      </c>
      <c r="H85" s="1">
        <f t="shared" si="5"/>
        <v>-4.17</v>
      </c>
      <c r="I85" s="1">
        <f t="shared" si="6"/>
        <v>-2.39</v>
      </c>
      <c r="J85" s="1">
        <f t="shared" si="7"/>
        <v>1.7799999999999998</v>
      </c>
      <c r="K85" s="1" t="s">
        <v>184</v>
      </c>
      <c r="L85" t="s">
        <v>184</v>
      </c>
      <c r="M85" s="1" t="s">
        <v>188</v>
      </c>
    </row>
    <row r="86" spans="1:13" x14ac:dyDescent="0.25">
      <c r="A86" s="1" t="s">
        <v>82</v>
      </c>
      <c r="B86" s="1" t="s">
        <v>110</v>
      </c>
      <c r="C86" s="1">
        <v>394.298</v>
      </c>
      <c r="D86" s="1">
        <v>2</v>
      </c>
      <c r="E86" s="1">
        <v>4.2</v>
      </c>
      <c r="F86" s="1">
        <v>159</v>
      </c>
      <c r="G86" s="1">
        <f t="shared" si="4"/>
        <v>5.0723057180102359E-6</v>
      </c>
      <c r="H86" s="1">
        <f t="shared" si="5"/>
        <v>-5.29</v>
      </c>
      <c r="I86" s="1">
        <f t="shared" si="6"/>
        <v>-5.04</v>
      </c>
      <c r="J86" s="1">
        <f t="shared" si="7"/>
        <v>0.25</v>
      </c>
      <c r="K86" s="1" t="s">
        <v>184</v>
      </c>
      <c r="L86" t="s">
        <v>184</v>
      </c>
      <c r="M86" s="1" t="s">
        <v>188</v>
      </c>
    </row>
    <row r="87" spans="1:13" x14ac:dyDescent="0.25">
      <c r="A87" s="1" t="s">
        <v>83</v>
      </c>
      <c r="B87" s="1" t="s">
        <v>111</v>
      </c>
      <c r="C87" s="1">
        <v>214.292</v>
      </c>
      <c r="D87" s="1">
        <v>277</v>
      </c>
      <c r="E87" s="1">
        <v>1.6</v>
      </c>
      <c r="F87" s="1">
        <v>126</v>
      </c>
      <c r="G87" s="1">
        <f t="shared" si="4"/>
        <v>1.2926287495566798E-3</v>
      </c>
      <c r="H87" s="1">
        <f t="shared" si="5"/>
        <v>-2.89</v>
      </c>
      <c r="I87" s="1">
        <f t="shared" si="6"/>
        <v>-2.11</v>
      </c>
      <c r="J87" s="1">
        <f t="shared" si="7"/>
        <v>0.78000000000000025</v>
      </c>
      <c r="K87" s="1" t="s">
        <v>184</v>
      </c>
      <c r="L87" t="s">
        <v>184</v>
      </c>
      <c r="M87" s="1" t="s">
        <v>188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E285DB-7991-4B84-A164-386B978B19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Agrochemical molecules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Nahomy Quirós Araya</dc:creator>
  <cp:keywords/>
  <dc:description/>
  <cp:lastModifiedBy>Esteban Bertsch Aguilar</cp:lastModifiedBy>
  <cp:revision/>
  <cp:lastPrinted>2025-12-15T15:18:10Z</cp:lastPrinted>
  <dcterms:created xsi:type="dcterms:W3CDTF">2025-08-15T00:10:55Z</dcterms:created>
  <dcterms:modified xsi:type="dcterms:W3CDTF">2026-06-16T22:16:08Z</dcterms:modified>
  <cp:category/>
  <cp:contentStatus/>
</cp:coreProperties>
</file>
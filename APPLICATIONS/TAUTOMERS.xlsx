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william_zamoraramirez_ucr_ac_cr/Documents/Backup/SOLUBILIDAD/SCRIPTS/APPLICATIONS/"/>
    </mc:Choice>
  </mc:AlternateContent>
  <xr:revisionPtr revIDLastSave="454" documentId="8_{A0CFDA36-6E32-4120-814C-D99704465575}" xr6:coauthVersionLast="47" xr6:coauthVersionMax="47" xr10:uidLastSave="{1B883627-DC00-4120-977D-BB1E589EAA67}"/>
  <bookViews>
    <workbookView xWindow="28680" yWindow="-120" windowWidth="20640" windowHeight="11040" xr2:uid="{DCEA933E-B760-4621-BEA6-3F5BAC6D0DCA}"/>
  </bookViews>
  <sheets>
    <sheet name="Warfarin tautomer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J2" i="3" s="1"/>
  <c r="I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07EDD4-35BB-4F7F-A40C-87FB58A559B6}" keepAlive="1" name="Consulta - Table009 (Page 3)" description="Conexión a la consulta 'Table009 (Page 3)' en el libro." type="5" refreshedVersion="8" background="1" saveData="1">
    <dbPr connection="Provider=Microsoft.Mashup.OleDb.1;Data Source=$Workbook$;Location=&quot;Table009 (Page 3)&quot;;Extended Properties=&quot;&quot;" command="SELECT * FROM [Table009 (Page 3)]"/>
  </connection>
  <connection id="2" xr16:uid="{E87AC062-A58E-414E-BF95-2E2622486A05}" keepAlive="1" name="Consulta - Table011 (Page 4)" description="Conexión a la consulta 'Table011 (Page 4)' en el libro." type="5" refreshedVersion="8" background="1" saveData="1">
    <dbPr connection="Provider=Microsoft.Mashup.OleDb.1;Data Source=$Workbook$;Location=&quot;Table011 (Page 4)&quot;;Extended Properties=&quot;&quot;" command="SELECT * FROM [Table011 (Page 4)]"/>
  </connection>
  <connection id="3" xr16:uid="{B9F20F6D-C422-46F0-95F2-550CF101417B}" keepAlive="1" name="Consulta - Table012 (Page 4)" description="Conexión a la consulta 'Table012 (Page 4)' en el libro." type="5" refreshedVersion="8" background="1" saveData="1">
    <dbPr connection="Provider=Microsoft.Mashup.OleDb.1;Data Source=$Workbook$;Location=&quot;Table012 (Page 4)&quot;;Extended Properties=&quot;&quot;" command="SELECT * FROM [Table012 (Page 4)]"/>
  </connection>
  <connection id="4" xr16:uid="{D864360F-FDAD-4D2A-A9FB-29689C550635}" keepAlive="1" name="Consulta - Table013 (Page 5)" description="Conexión a la consulta 'Table013 (Page 5)' en el libro." type="5" refreshedVersion="8" background="1" saveData="1">
    <dbPr connection="Provider=Microsoft.Mashup.OleDb.1;Data Source=$Workbook$;Location=&quot;Table013 (Page 5)&quot;;Extended Properties=&quot;&quot;" command="SELECT * FROM [Table013 (Page 5)]"/>
  </connection>
</connections>
</file>

<file path=xl/sharedStrings.xml><?xml version="1.0" encoding="utf-8"?>
<sst xmlns="http://schemas.openxmlformats.org/spreadsheetml/2006/main" count="90" uniqueCount="55">
  <si>
    <t>Name</t>
  </si>
  <si>
    <t>SMILES</t>
  </si>
  <si>
    <t>Use GSE</t>
  </si>
  <si>
    <t>Tautomer type</t>
  </si>
  <si>
    <t>GSESolver Prediction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</si>
  <si>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</si>
  <si>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</si>
  <si>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</si>
  <si>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</si>
  <si>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</si>
  <si>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</si>
  <si>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</si>
  <si>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</si>
  <si>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</si>
  <si>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</si>
  <si>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</si>
  <si>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</si>
  <si>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</si>
  <si>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</si>
  <si>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</si>
  <si>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</si>
  <si>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</si>
  <si>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</si>
  <si>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</si>
  <si>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</si>
  <si>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4-hydroxy-enol</t>
  </si>
  <si>
    <t>2-hydroxy-enol</t>
  </si>
  <si>
    <t>diketo</t>
  </si>
  <si>
    <t>hemi-ketal</t>
  </si>
  <si>
    <t>O=C1OC2=CC=CC=C2C(O)=C1[C@@H](C3=CC=CC=C3)CC(C)=O</t>
  </si>
  <si>
    <t>OC1=C([C@@H](C2=CC=CC=C2)CC(C)=O)C(C3=CC=CC=C3O1)=O</t>
  </si>
  <si>
    <t>O=C([C@H]1[C@@H](C2=CC=CC=C2)CC(C)=O)OC3=CC=CC=C3C1=O</t>
  </si>
  <si>
    <t>O=C([C@@H]1[C@@H](C2=CC=CC=C2)CC(C)=O)OC3=CC=CC=C3C1=O</t>
  </si>
  <si>
    <t>O=C1OC2=CC=CC=C2C(O)=C1[C@@H](C3=CC=CC=C3)/C=C(C)\O</t>
  </si>
  <si>
    <t>O=C1OC2=CC=CC=C2C(O)=C1[C@@H](C3=CC=CC=C3)/C=C(O)\C</t>
  </si>
  <si>
    <t>O=C1OC2=CC=CC=C2C(O)=C1[C@@H](C3=CC=CC=C3)CC(O)=C</t>
  </si>
  <si>
    <t>OC1=C([C@@H](C2=CC=CC=C2)/C=C(C)\O)C(C3=CC=CC=C3O1)=O</t>
  </si>
  <si>
    <t>OC1=C([C@@H](C2=CC=CC=C2)/C=C(O)\C)C(C3=CC=CC=C3O1)=O</t>
  </si>
  <si>
    <t>OC1=C([C@@H](C2=CC=CC=C2)CC(O)=C)C(C3=CC=CC=C3O1)=O</t>
  </si>
  <si>
    <t>O=C([C@H]1[C@@H](C2=CC=CC=C2)/C=C(C)\O)OC3=CC=CC=C3C1=O</t>
  </si>
  <si>
    <t>O=C([C@@H]1[C@@H](C2=CC=CC=C2)/C=C(C)\O)OC3=CC=CC=C3C1=O</t>
  </si>
  <si>
    <t>O=C([C@H]1[C@@H](C2=CC=CC=C2)/C=C(O)\C)OC3=CC=CC=C3C1=O</t>
  </si>
  <si>
    <t>O=C([C@@H]1[C@@H](C2=CC=CC=C2)/C=C(O)\C)OC3=CC=CC=C3C1=O</t>
  </si>
  <si>
    <t>O=C([C@H]1[C@@H](C2=CC=CC=C2)CC(O)=C)OC3=CC=CC=C3C1=O</t>
  </si>
  <si>
    <t>O=C([C@@H]1[C@@H](C2=CC=CC=C2)CC(O)=C)OC3=CC=CC=C3C1=O</t>
  </si>
  <si>
    <t>C[C@]1(O)C[C@@H](C2=CC=CC=C2)C3=C(O1)OC4=CC=CC=C4C3=O</t>
  </si>
  <si>
    <t>C[C@@]1(O)C[C@@H](C2=CC=CC=C2)C3=C(O1)OC4=CC=CC=C4C3=O</t>
  </si>
  <si>
    <t>O=C1OC2=CC=CC=C2C(O[C@](O)(C)C3)=C1[C@H]3C4=CC=CC=C4</t>
  </si>
  <si>
    <t>O=C1OC2=CC=CC=C2C(O[C@@](O)(C)C3)=C1[C@H]3C4=CC=CC=C4</t>
  </si>
  <si>
    <t>logS exp</t>
  </si>
  <si>
    <t>logP</t>
  </si>
  <si>
    <t>mp</t>
  </si>
  <si>
    <t>logS GSE</t>
  </si>
  <si>
    <t>DlogS</t>
  </si>
  <si>
    <t>s 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</si>
</sst>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4EE8-2AF1-42DE-8910-A8A6E1BAD41F}">
  <dimension ref="A1:J93"/>
  <sheetViews>
    <sheetView tabSelected="1" workbookViewId="0">
      <selection activeCell="B7" sqref="B7"/>
    </sheetView>
  </sheetViews>
  <sheetFormatPr defaultColWidth="11.42578125" defaultRowHeight="15" x14ac:dyDescent="0.25"/>
  <cols>
    <col min="1" max="1" width="17.5703125" style="1" bestFit="1" customWidth="1"/>
    <col min="2" max="2" width="38.85546875" style="1" customWidth="1"/>
    <col min="3" max="3" width="19.28515625" style="1" bestFit="1" customWidth="1"/>
    <col min="4" max="4" width="34.7109375" style="1" bestFit="1" customWidth="1"/>
    <col min="5" max="16384" width="11.42578125" style="1"/>
  </cols>
  <sheetData>
    <row r="1" spans="1:10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54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 x14ac:dyDescent="0.25">
      <c r="A2" s="1" t="s">
        <v>5</v>
      </c>
      <c r="B2" s="1" t="s">
        <v>29</v>
      </c>
      <c r="C2" s="1" t="s">
        <v>25</v>
      </c>
      <c r="D2" s="1" t="s">
        <v>2</v>
      </c>
      <c r="E2" s="1">
        <v>17</v>
      </c>
      <c r="F2" s="1">
        <f>LOG10(E2*(1/1000)*(1/308.3))</f>
        <v>-4.258524603348234</v>
      </c>
      <c r="G2" s="1">
        <v>2.7</v>
      </c>
      <c r="H2" s="1">
        <v>161</v>
      </c>
      <c r="I2" s="1">
        <f>0.5-0.01*(H2-25)-G2</f>
        <v>-3.5600000000000005</v>
      </c>
      <c r="J2" s="1">
        <f>ABS(F2-I2)</f>
        <v>0.69852460334823352</v>
      </c>
    </row>
    <row r="3" spans="1:10" x14ac:dyDescent="0.25">
      <c r="A3" s="1" t="s">
        <v>6</v>
      </c>
      <c r="B3" s="1" t="s">
        <v>30</v>
      </c>
      <c r="C3" s="1" t="s">
        <v>26</v>
      </c>
      <c r="D3" s="1" t="s">
        <v>2</v>
      </c>
    </row>
    <row r="4" spans="1:10" x14ac:dyDescent="0.25">
      <c r="A4" s="1" t="s">
        <v>7</v>
      </c>
      <c r="B4" s="1" t="s">
        <v>31</v>
      </c>
      <c r="C4" s="1" t="s">
        <v>27</v>
      </c>
      <c r="D4" s="1" t="s">
        <v>2</v>
      </c>
    </row>
    <row r="5" spans="1:10" x14ac:dyDescent="0.25">
      <c r="A5" s="1" t="s">
        <v>8</v>
      </c>
      <c r="B5" s="1" t="s">
        <v>32</v>
      </c>
      <c r="C5" s="1" t="s">
        <v>27</v>
      </c>
      <c r="D5" s="1" t="s">
        <v>2</v>
      </c>
    </row>
    <row r="6" spans="1:10" x14ac:dyDescent="0.25">
      <c r="A6" s="1" t="s">
        <v>9</v>
      </c>
      <c r="B6" s="1" t="s">
        <v>33</v>
      </c>
      <c r="C6" s="1" t="s">
        <v>25</v>
      </c>
      <c r="D6" s="1" t="s">
        <v>2</v>
      </c>
    </row>
    <row r="7" spans="1:10" x14ac:dyDescent="0.25">
      <c r="A7" s="1" t="s">
        <v>10</v>
      </c>
      <c r="B7" s="1" t="s">
        <v>34</v>
      </c>
      <c r="C7" s="1" t="s">
        <v>25</v>
      </c>
      <c r="D7" s="1" t="s">
        <v>2</v>
      </c>
    </row>
    <row r="8" spans="1:10" x14ac:dyDescent="0.25">
      <c r="A8" s="1" t="s">
        <v>11</v>
      </c>
      <c r="B8" s="1" t="s">
        <v>36</v>
      </c>
      <c r="C8" s="1" t="s">
        <v>26</v>
      </c>
      <c r="D8" s="1" t="s">
        <v>2</v>
      </c>
    </row>
    <row r="9" spans="1:10" x14ac:dyDescent="0.25">
      <c r="A9" s="1" t="s">
        <v>12</v>
      </c>
      <c r="B9" s="1" t="s">
        <v>37</v>
      </c>
      <c r="C9" s="1" t="s">
        <v>26</v>
      </c>
      <c r="D9" s="1" t="s">
        <v>2</v>
      </c>
    </row>
    <row r="10" spans="1:10" x14ac:dyDescent="0.25">
      <c r="A10" s="1" t="s">
        <v>13</v>
      </c>
      <c r="B10" s="1" t="s">
        <v>39</v>
      </c>
      <c r="C10" s="1" t="s">
        <v>27</v>
      </c>
      <c r="D10" s="1" t="s">
        <v>2</v>
      </c>
    </row>
    <row r="11" spans="1:10" x14ac:dyDescent="0.25">
      <c r="A11" s="1" t="s">
        <v>14</v>
      </c>
      <c r="B11" s="1" t="s">
        <v>41</v>
      </c>
      <c r="C11" s="1" t="s">
        <v>27</v>
      </c>
      <c r="D11" s="1" t="s">
        <v>2</v>
      </c>
    </row>
    <row r="12" spans="1:10" x14ac:dyDescent="0.25">
      <c r="A12" s="1" t="s">
        <v>15</v>
      </c>
      <c r="B12" s="1" t="s">
        <v>40</v>
      </c>
      <c r="C12" s="1" t="s">
        <v>27</v>
      </c>
      <c r="D12" s="1" t="s">
        <v>2</v>
      </c>
    </row>
    <row r="13" spans="1:10" x14ac:dyDescent="0.25">
      <c r="A13" s="1" t="s">
        <v>16</v>
      </c>
      <c r="B13" s="1" t="s">
        <v>42</v>
      </c>
      <c r="C13" s="1" t="s">
        <v>27</v>
      </c>
      <c r="D13" s="1" t="s">
        <v>2</v>
      </c>
    </row>
    <row r="14" spans="1:10" x14ac:dyDescent="0.25">
      <c r="A14" s="1" t="s">
        <v>17</v>
      </c>
      <c r="B14" s="1" t="s">
        <v>35</v>
      </c>
      <c r="C14" s="1" t="s">
        <v>25</v>
      </c>
      <c r="D14" s="1" t="s">
        <v>2</v>
      </c>
    </row>
    <row r="15" spans="1:10" x14ac:dyDescent="0.25">
      <c r="A15" s="1" t="s">
        <v>18</v>
      </c>
      <c r="B15" s="1" t="s">
        <v>38</v>
      </c>
      <c r="C15" s="1" t="s">
        <v>26</v>
      </c>
      <c r="D15" s="1" t="s">
        <v>2</v>
      </c>
    </row>
    <row r="16" spans="1:10" x14ac:dyDescent="0.25">
      <c r="A16" s="1" t="s">
        <v>19</v>
      </c>
      <c r="B16" s="1" t="s">
        <v>43</v>
      </c>
      <c r="C16" s="1" t="s">
        <v>27</v>
      </c>
      <c r="D16" s="1" t="s">
        <v>2</v>
      </c>
    </row>
    <row r="17" spans="1:4" x14ac:dyDescent="0.25">
      <c r="A17" s="1" t="s">
        <v>20</v>
      </c>
      <c r="B17" s="1" t="s">
        <v>44</v>
      </c>
      <c r="C17" s="1" t="s">
        <v>27</v>
      </c>
      <c r="D17" s="1" t="s">
        <v>2</v>
      </c>
    </row>
    <row r="18" spans="1:4" x14ac:dyDescent="0.25">
      <c r="A18" s="1" t="s">
        <v>21</v>
      </c>
      <c r="B18" s="1" t="s">
        <v>47</v>
      </c>
      <c r="C18" s="1" t="s">
        <v>28</v>
      </c>
      <c r="D18" s="1" t="s">
        <v>2</v>
      </c>
    </row>
    <row r="19" spans="1:4" x14ac:dyDescent="0.25">
      <c r="A19" s="1" t="s">
        <v>22</v>
      </c>
      <c r="B19" s="1" t="s">
        <v>48</v>
      </c>
      <c r="C19" s="1" t="s">
        <v>28</v>
      </c>
      <c r="D19" s="1" t="s">
        <v>2</v>
      </c>
    </row>
    <row r="20" spans="1:4" x14ac:dyDescent="0.25">
      <c r="A20" s="1" t="s">
        <v>23</v>
      </c>
      <c r="B20" s="1" t="s">
        <v>45</v>
      </c>
      <c r="C20" s="1" t="s">
        <v>28</v>
      </c>
      <c r="D20" s="1" t="s">
        <v>2</v>
      </c>
    </row>
    <row r="21" spans="1:4" x14ac:dyDescent="0.25">
      <c r="A21" s="1" t="s">
        <v>24</v>
      </c>
      <c r="B21" s="1" t="s">
        <v>46</v>
      </c>
      <c r="C21" s="1" t="s">
        <v>28</v>
      </c>
      <c r="D21" s="1" t="s">
        <v>2</v>
      </c>
    </row>
    <row r="88" spans="1:3" x14ac:dyDescent="0.25">
      <c r="A88"/>
      <c r="B88"/>
      <c r="C88"/>
    </row>
    <row r="89" spans="1:3" x14ac:dyDescent="0.25">
      <c r="A89"/>
      <c r="B89"/>
      <c r="C89"/>
    </row>
    <row r="90" spans="1:3" x14ac:dyDescent="0.25">
      <c r="A90"/>
      <c r="B90"/>
      <c r="C90"/>
    </row>
    <row r="91" spans="1:3" x14ac:dyDescent="0.25">
      <c r="A91"/>
      <c r="B91"/>
      <c r="C91"/>
    </row>
    <row r="92" spans="1:3" x14ac:dyDescent="0.25">
      <c r="A92"/>
      <c r="B92"/>
      <c r="C92"/>
    </row>
    <row r="93" spans="1:3" x14ac:dyDescent="0.25">
      <c r="A93"/>
      <c r="B93"/>
      <c r="C93"/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E285DB-7991-4B84-A164-386B978B19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Warfarin tautomers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Nahomy Quirós Araya</dc:creator>
  <cp:keywords/>
  <dc:description/>
  <cp:lastModifiedBy>Esteban Bertsch Aguilar</cp:lastModifiedBy>
  <cp:revision/>
  <cp:lastPrinted>2025-12-15T15:18:10Z</cp:lastPrinted>
  <dcterms:created xsi:type="dcterms:W3CDTF">2025-08-15T00:10:55Z</dcterms:created>
  <dcterms:modified xsi:type="dcterms:W3CDTF">2026-04-01T19:48:44Z</dcterms:modified>
  <cp:category/>
  <cp:contentStatus/>
</cp:coreProperties>
</file>
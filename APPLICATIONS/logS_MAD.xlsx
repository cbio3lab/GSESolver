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william_zamoraramirez_ucr_ac_cr/Documents/Backup/SOLUBILIDAD/SCRIPTS/APPLICATIONS/"/>
    </mc:Choice>
  </mc:AlternateContent>
  <xr:revisionPtr revIDLastSave="269" documentId="8_{F50348C8-B5D8-4C51-85ED-42AA902F785C}" xr6:coauthVersionLast="47" xr6:coauthVersionMax="47" xr10:uidLastSave="{93D92BB9-9FEE-556C-9BC2-FB5640AB6E68}"/>
  <bookViews>
    <workbookView xWindow="-120" yWindow="-120" windowWidth="29040" windowHeight="15720" xr2:uid="{F8B66F25-B9A1-423C-BEED-979EBF1600A1}"/>
  </bookViews>
  <sheets>
    <sheet name="Ref 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P12" i="1"/>
  <c r="P3" i="1"/>
  <c r="P4" i="1"/>
  <c r="P5" i="1"/>
  <c r="P6" i="1"/>
  <c r="P2" i="1"/>
  <c r="M12" i="1"/>
  <c r="N12" i="1" s="1"/>
  <c r="O12" i="1" s="1"/>
  <c r="Q12" i="1" s="1"/>
  <c r="N5" i="1"/>
  <c r="O5" i="1" s="1"/>
  <c r="Q5" i="1" s="1"/>
  <c r="M4" i="1"/>
  <c r="N4" i="1" s="1"/>
  <c r="O4" i="1" s="1"/>
  <c r="Q4" i="1" s="1"/>
  <c r="M3" i="1"/>
  <c r="N3" i="1" s="1"/>
  <c r="O3" i="1" s="1"/>
  <c r="Q3" i="1" s="1"/>
  <c r="M6" i="1"/>
  <c r="N6" i="1" s="1"/>
  <c r="O6" i="1" s="1"/>
  <c r="Q6" i="1" s="1"/>
  <c r="M2" i="1"/>
  <c r="N2" i="1" s="1"/>
  <c r="H4" i="1"/>
  <c r="H12" i="1"/>
  <c r="D12" i="1" s="1"/>
  <c r="H6" i="1"/>
  <c r="H3" i="1"/>
  <c r="H5" i="1"/>
  <c r="H2" i="1"/>
  <c r="R12" i="1" l="1"/>
  <c r="S12" i="1" s="1"/>
  <c r="R5" i="1"/>
  <c r="S5" i="1" s="1"/>
  <c r="O2" i="1"/>
  <c r="Q2" i="1" s="1"/>
  <c r="R2" i="1" s="1"/>
  <c r="S2" i="1" s="1"/>
  <c r="R6" i="1"/>
  <c r="S6" i="1" s="1"/>
  <c r="R3" i="1"/>
  <c r="S3" i="1" s="1"/>
  <c r="R4" i="1"/>
  <c r="S4" i="1" s="1"/>
</calcChain>
</file>

<file path=xl/sharedStrings.xml><?xml version="1.0" encoding="utf-8"?>
<sst xmlns="http://schemas.openxmlformats.org/spreadsheetml/2006/main" count="70" uniqueCount="44">
  <si>
    <t>id</t>
  </si>
  <si>
    <t>smiles</t>
  </si>
  <si>
    <t>M_gmol</t>
  </si>
  <si>
    <t>MAD_mg</t>
  </si>
  <si>
    <t>Ka_cms</t>
  </si>
  <si>
    <t>surface_area_cm2</t>
  </si>
  <si>
    <t>s_mgmL</t>
  </si>
  <si>
    <t>residencetime_s</t>
  </si>
  <si>
    <t>mp</t>
  </si>
  <si>
    <t>logP</t>
  </si>
  <si>
    <t>logS_GSE</t>
  </si>
  <si>
    <t>s_molL</t>
  </si>
  <si>
    <t>s_mgmL_GSE</t>
  </si>
  <si>
    <t>MAD_GSE_mg</t>
  </si>
  <si>
    <t>Rizatriptan</t>
  </si>
  <si>
    <t>CN(C)CCC1=CNC2=C1C=C(C=C2)CN3C=NC=N3</t>
  </si>
  <si>
    <t>Vardenafil</t>
  </si>
  <si>
    <t>CCCC1=NC(=C2N1N=C(NC2=O)C3=C(C=CC(=C3)S(=O)(=O)N4CCN(CC4)CC)OCC)C</t>
  </si>
  <si>
    <t>Propranolol</t>
  </si>
  <si>
    <t>CC(C)NCC(COC1=CC=CC2=CC=CC=C21)O</t>
  </si>
  <si>
    <t>Verapamil</t>
  </si>
  <si>
    <t>CC(C)C(CCCN(C)CCC1=CC(=C(C=C1)OC)OC)(C#N)C2=CC(=C(C=C2)OC)OC</t>
  </si>
  <si>
    <t>Nicotine</t>
  </si>
  <si>
    <t>CN1CCC[C@H]1C2=CN=CC=C2</t>
  </si>
  <si>
    <t>https://doi.org/10.1016/j.ijpharm.2016.02.033</t>
  </si>
  <si>
    <t>Ka_min-1</t>
  </si>
  <si>
    <t>SIWV_mL</t>
  </si>
  <si>
    <t>SITT_min</t>
  </si>
  <si>
    <t>Azithromycin</t>
  </si>
  <si>
    <t>CC[C@@H]1[C@@]([C@@H]([C@H](N(C[C@@H](C[C@@]([C@@H]([C@H]([C@@H]([C@H](C(=O)O1)C)O[C@H]2C[C@@]([C@H]([C@@H](O2)C)O)(C)OC)C)O[C@H]3[C@@H]([C@H](C[C@H](O3)C)N(C)C)O)(C)O)C)C)C)O)(C)O</t>
  </si>
  <si>
    <t>10.1016/s1461-5347(98)00097-2</t>
  </si>
  <si>
    <t>GSESolver_prediction</t>
  </si>
  <si>
    <t>Use GSE</t>
  </si>
  <si>
    <t>Do not use GSE</t>
  </si>
  <si>
    <t>LiProS</t>
  </si>
  <si>
    <t>logD</t>
  </si>
  <si>
    <t>pKa</t>
  </si>
  <si>
    <t>Use Eq. 1</t>
  </si>
  <si>
    <t>Use Eq. 2</t>
  </si>
  <si>
    <r>
      <rPr>
        <b/>
        <sz val="14"/>
        <color theme="1"/>
        <rFont val="Symbol"/>
        <family val="1"/>
        <charset val="2"/>
      </rPr>
      <t>D</t>
    </r>
    <r>
      <rPr>
        <b/>
        <sz val="14"/>
        <color theme="1"/>
        <rFont val="Fuente de cuerpo"/>
      </rPr>
      <t>MAD</t>
    </r>
  </si>
  <si>
    <t>SMILES, molar mass, melting points, logP values, and solubility values unavailable in the paper were extracted from PubChem. pKa was calculated with ChemAxon.</t>
  </si>
  <si>
    <t>Source:</t>
  </si>
  <si>
    <t>SMILES, molar mass, melting points, and logP values were extracted from PubChem. pKa was calculated with ChemAxon.</t>
  </si>
  <si>
    <t>logS_exp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</si>
</sst>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>
    <font>
      <sz val="14"/>
      <color theme="1"/>
      <name val="Fuente de cuerpo"/>
      <family val="2"/>
    </font>
    <font>
      <u/>
      <sz val="14"/>
      <color theme="10"/>
      <name val="Fuente de cuerpo"/>
      <family val="2"/>
    </font>
    <font>
      <b/>
      <sz val="14"/>
      <color theme="1"/>
      <name val="Fuente de cuerpo"/>
    </font>
    <font>
      <b/>
      <sz val="14"/>
      <color theme="1"/>
      <name val="Symbol"/>
      <family val="1"/>
      <charset val="2"/>
    </font>
    <font>
      <b/>
      <sz val="14"/>
      <color theme="1"/>
      <name val="Fuente de cuerpo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/>
    <xf numFmtId="11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0" xfId="1"/>
    <xf numFmtId="0" fontId="2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ijpharm.2016.02.0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39C5-D495-4275-ADAA-C65083174C6D}">
  <dimension ref="A1:T17"/>
  <sheetViews>
    <sheetView tabSelected="1" topLeftCell="F1" zoomScale="55" zoomScaleNormal="55" workbookViewId="0">
      <selection activeCell="R9" sqref="R9"/>
    </sheetView>
  </sheetViews>
  <sheetFormatPr defaultRowHeight="18"/>
  <cols>
    <col min="1" max="1" width="19.1796875" bestFit="1" customWidth="1"/>
    <col min="2" max="2" width="20.26953125" customWidth="1"/>
    <col min="3" max="3" width="7.54296875" bestFit="1" customWidth="1"/>
    <col min="4" max="4" width="8.08984375" bestFit="1" customWidth="1"/>
    <col min="5" max="5" width="10" bestFit="1" customWidth="1"/>
    <col min="6" max="6" width="16.54296875" bestFit="1" customWidth="1"/>
    <col min="7" max="7" width="8" bestFit="1" customWidth="1"/>
    <col min="8" max="8" width="14.81640625" bestFit="1" customWidth="1"/>
    <col min="9" max="9" width="3.81640625" bestFit="1" customWidth="1"/>
    <col min="10" max="10" width="6.26953125" bestFit="1" customWidth="1"/>
    <col min="11" max="11" width="8.453125" bestFit="1" customWidth="1"/>
    <col min="12" max="13" width="6.26953125" customWidth="1"/>
    <col min="14" max="14" width="9.08984375" bestFit="1" customWidth="1"/>
    <col min="15" max="16" width="9.08984375" customWidth="1"/>
    <col min="17" max="17" width="12.90625" bestFit="1" customWidth="1"/>
    <col min="18" max="18" width="13.26953125" bestFit="1" customWidth="1"/>
    <col min="19" max="19" width="13.26953125" customWidth="1"/>
  </cols>
  <sheetData>
    <row r="1" spans="1:20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34</v>
      </c>
      <c r="L1" s="7" t="s">
        <v>36</v>
      </c>
      <c r="M1" s="7" t="s">
        <v>35</v>
      </c>
      <c r="N1" s="7" t="s">
        <v>10</v>
      </c>
      <c r="O1" s="7" t="s">
        <v>11</v>
      </c>
      <c r="P1" s="7" t="s">
        <v>43</v>
      </c>
      <c r="Q1" s="7" t="s">
        <v>12</v>
      </c>
      <c r="R1" s="7" t="s">
        <v>13</v>
      </c>
      <c r="S1" s="8" t="s">
        <v>39</v>
      </c>
      <c r="T1" s="7" t="s">
        <v>31</v>
      </c>
    </row>
    <row r="2" spans="1:20">
      <c r="A2" t="s">
        <v>14</v>
      </c>
      <c r="B2" t="s">
        <v>15</v>
      </c>
      <c r="C2">
        <v>269.33999999999997</v>
      </c>
      <c r="D2" s="2">
        <v>0.9</v>
      </c>
      <c r="E2" s="3">
        <v>5.0999999999999999E-7</v>
      </c>
      <c r="F2">
        <v>76.7</v>
      </c>
      <c r="G2">
        <v>42</v>
      </c>
      <c r="H2" s="5">
        <f>ROUND(D2/(E2*F2*G2),0)</f>
        <v>548</v>
      </c>
      <c r="I2">
        <v>178</v>
      </c>
      <c r="J2" s="1">
        <v>1.4</v>
      </c>
      <c r="K2" s="1" t="s">
        <v>37</v>
      </c>
      <c r="L2" s="2">
        <v>9.4</v>
      </c>
      <c r="M2" s="1">
        <f>J2-LOG10(1+10^(L2-6.5))</f>
        <v>-1.5005464004928584</v>
      </c>
      <c r="N2">
        <f>0.5-0.01*(I2-25)-M2</f>
        <v>0.47054640049285834</v>
      </c>
      <c r="O2">
        <f>10^N2</f>
        <v>2.9549245789573644</v>
      </c>
      <c r="P2">
        <f>ROUND(LOG10(O2),2)</f>
        <v>0.47</v>
      </c>
      <c r="Q2" s="4">
        <f>O2*C2</f>
        <v>795.87938609637649</v>
      </c>
      <c r="R2" s="4">
        <f>Q2*E2*F2*H2</f>
        <v>17.060562842370715</v>
      </c>
      <c r="S2" s="4">
        <f>ABS(R2-D2)</f>
        <v>16.160562842370716</v>
      </c>
      <c r="T2" t="s">
        <v>32</v>
      </c>
    </row>
    <row r="3" spans="1:20">
      <c r="A3" t="s">
        <v>16</v>
      </c>
      <c r="B3" t="s">
        <v>17</v>
      </c>
      <c r="C3">
        <v>488.6</v>
      </c>
      <c r="D3" s="2">
        <v>0.1</v>
      </c>
      <c r="E3" s="3">
        <v>5.1800000000000004E-6</v>
      </c>
      <c r="F3">
        <v>76.7</v>
      </c>
      <c r="G3">
        <v>0.1</v>
      </c>
      <c r="H3" s="5">
        <f>ROUND(D3/(E3*F3*G3),0)</f>
        <v>2517</v>
      </c>
      <c r="I3">
        <v>192</v>
      </c>
      <c r="J3" s="1">
        <v>1.4</v>
      </c>
      <c r="K3" s="1" t="s">
        <v>37</v>
      </c>
      <c r="L3" s="2">
        <v>9</v>
      </c>
      <c r="M3" s="1">
        <f t="shared" ref="M3:M6" si="0">J3-LOG10(1+10^(L3-6.5))</f>
        <v>-1.1013711928326839</v>
      </c>
      <c r="N3">
        <f t="shared" ref="N3:N6" si="1">0.5-0.01*(I3-25)-M3</f>
        <v>-6.8628807167316008E-2</v>
      </c>
      <c r="O3">
        <f t="shared" ref="O3:O6" si="2">10^N3</f>
        <v>0.85382957300630469</v>
      </c>
      <c r="P3">
        <f t="shared" ref="P3:P6" si="3">ROUND(LOG10(O3),2)</f>
        <v>-7.0000000000000007E-2</v>
      </c>
      <c r="Q3" s="4">
        <f>O3*C3</f>
        <v>417.18112937088051</v>
      </c>
      <c r="R3" s="4">
        <f>Q3*E3*F3*H3</f>
        <v>417.18914008292671</v>
      </c>
      <c r="S3" s="4">
        <f>ABS(R3-D3)</f>
        <v>417.08914008292669</v>
      </c>
      <c r="T3" t="s">
        <v>33</v>
      </c>
    </row>
    <row r="4" spans="1:20">
      <c r="A4" t="s">
        <v>18</v>
      </c>
      <c r="B4" t="s">
        <v>19</v>
      </c>
      <c r="C4">
        <v>259.33999999999997</v>
      </c>
      <c r="D4" s="2">
        <v>7.7</v>
      </c>
      <c r="E4" s="3">
        <v>1.2500000000000001E-5</v>
      </c>
      <c r="F4">
        <v>76.7</v>
      </c>
      <c r="G4">
        <v>50</v>
      </c>
      <c r="H4" s="5">
        <f>ROUND(D4/(E4*F4*G4),0)</f>
        <v>161</v>
      </c>
      <c r="I4">
        <v>96</v>
      </c>
      <c r="J4" s="1">
        <v>3.48</v>
      </c>
      <c r="K4" s="1" t="s">
        <v>37</v>
      </c>
      <c r="L4" s="2">
        <v>9.3000000000000007</v>
      </c>
      <c r="M4" s="1">
        <f>J4-LOG10(1+10^(L4-6.5))</f>
        <v>0.67931223450568012</v>
      </c>
      <c r="N4">
        <f t="shared" si="1"/>
        <v>-0.88931223450568009</v>
      </c>
      <c r="O4">
        <f t="shared" si="2"/>
        <v>0.12902912896378069</v>
      </c>
      <c r="P4">
        <f t="shared" si="3"/>
        <v>-0.89</v>
      </c>
      <c r="Q4" s="4">
        <f>O4*C4</f>
        <v>33.462414305466879</v>
      </c>
      <c r="R4" s="4">
        <f>Q4*E4*F4*H4</f>
        <v>5.1652164441739856</v>
      </c>
      <c r="S4" s="4">
        <f>ABS(R4-D4)</f>
        <v>2.5347835558260146</v>
      </c>
      <c r="T4" t="s">
        <v>32</v>
      </c>
    </row>
    <row r="5" spans="1:20">
      <c r="A5" t="s">
        <v>20</v>
      </c>
      <c r="B5" t="s">
        <v>21</v>
      </c>
      <c r="C5">
        <v>454.6</v>
      </c>
      <c r="D5" s="2">
        <v>4</v>
      </c>
      <c r="E5" s="3">
        <v>8.0000000000000007E-5</v>
      </c>
      <c r="F5">
        <v>76.7</v>
      </c>
      <c r="G5">
        <v>83</v>
      </c>
      <c r="H5" s="5">
        <f>ROUND(D5/(E5*F5*G5),0)</f>
        <v>8</v>
      </c>
      <c r="I5">
        <v>145</v>
      </c>
      <c r="J5" s="1">
        <v>3.79</v>
      </c>
      <c r="K5" s="1" t="s">
        <v>38</v>
      </c>
      <c r="L5" s="2">
        <v>9.6</v>
      </c>
      <c r="M5" s="1">
        <f>LOG10(10*(J5)+1.54*10^(L5-6.5))-LOG10(1+10^(L5-6.5))</f>
        <v>0.19558387227000784</v>
      </c>
      <c r="N5">
        <f t="shared" si="1"/>
        <v>-0.8955838722700078</v>
      </c>
      <c r="O5">
        <f t="shared" si="2"/>
        <v>0.12717921140098906</v>
      </c>
      <c r="P5" s="1">
        <f t="shared" si="3"/>
        <v>-0.9</v>
      </c>
      <c r="Q5" s="4">
        <f>O5*C5</f>
        <v>57.815669502889634</v>
      </c>
      <c r="R5" s="4">
        <f>Q5*E5*F5*H5</f>
        <v>2.8380555845578463</v>
      </c>
      <c r="S5" s="4">
        <f>ABS(R5-D5)</f>
        <v>1.1619444154421537</v>
      </c>
      <c r="T5" t="s">
        <v>32</v>
      </c>
    </row>
    <row r="6" spans="1:20">
      <c r="A6" t="s">
        <v>22</v>
      </c>
      <c r="B6" t="s">
        <v>23</v>
      </c>
      <c r="C6">
        <v>162.22999999999999</v>
      </c>
      <c r="D6" s="2">
        <v>3.4</v>
      </c>
      <c r="E6" s="3">
        <v>1.808E-4</v>
      </c>
      <c r="F6">
        <v>76.7</v>
      </c>
      <c r="G6">
        <v>1000</v>
      </c>
      <c r="H6" s="2">
        <f>ROUND(D6/(E6*F6*G6),1)</f>
        <v>0.2</v>
      </c>
      <c r="I6">
        <v>-79</v>
      </c>
      <c r="J6" s="1">
        <v>1.17</v>
      </c>
      <c r="K6" s="1" t="s">
        <v>37</v>
      </c>
      <c r="L6" s="2">
        <v>8.6</v>
      </c>
      <c r="M6" s="1">
        <f t="shared" si="0"/>
        <v>-0.93343609475172817</v>
      </c>
      <c r="N6">
        <f t="shared" si="1"/>
        <v>2.4734360947517282</v>
      </c>
      <c r="O6">
        <f t="shared" si="2"/>
        <v>297.46515148195834</v>
      </c>
      <c r="P6">
        <f t="shared" si="3"/>
        <v>2.4700000000000002</v>
      </c>
      <c r="Q6" s="4">
        <f>O6*C6</f>
        <v>48257.771524918098</v>
      </c>
      <c r="R6" s="4">
        <f>Q6*E6*F6*H6</f>
        <v>133.84157810675765</v>
      </c>
      <c r="S6" s="4">
        <f>ABS(R6-D6)</f>
        <v>130.44157810675765</v>
      </c>
      <c r="T6" t="s">
        <v>32</v>
      </c>
    </row>
    <row r="7" spans="1:20">
      <c r="S7" s="4"/>
    </row>
    <row r="8" spans="1:20">
      <c r="A8" t="s">
        <v>41</v>
      </c>
      <c r="B8" s="6" t="s">
        <v>24</v>
      </c>
      <c r="S8" s="4"/>
    </row>
    <row r="9" spans="1:20">
      <c r="A9" t="s">
        <v>40</v>
      </c>
      <c r="S9" s="4"/>
    </row>
    <row r="10" spans="1:20">
      <c r="S10" s="4"/>
    </row>
    <row r="11" spans="1:20" s="7" customFormat="1">
      <c r="A11" s="7" t="s">
        <v>0</v>
      </c>
      <c r="B11" s="7" t="s">
        <v>1</v>
      </c>
      <c r="C11" s="7" t="s">
        <v>2</v>
      </c>
      <c r="D11" s="7" t="s">
        <v>3</v>
      </c>
      <c r="E11" s="7" t="s">
        <v>25</v>
      </c>
      <c r="F11" s="7" t="s">
        <v>26</v>
      </c>
      <c r="G11" s="7" t="s">
        <v>6</v>
      </c>
      <c r="H11" s="7" t="s">
        <v>27</v>
      </c>
      <c r="I11" s="7" t="s">
        <v>8</v>
      </c>
      <c r="J11" s="7" t="s">
        <v>9</v>
      </c>
      <c r="K11" s="7" t="s">
        <v>34</v>
      </c>
      <c r="L11" s="7" t="s">
        <v>36</v>
      </c>
      <c r="M11" s="7" t="s">
        <v>35</v>
      </c>
      <c r="N11" s="7" t="s">
        <v>10</v>
      </c>
      <c r="O11" s="7" t="s">
        <v>11</v>
      </c>
      <c r="P11" s="7" t="s">
        <v>43</v>
      </c>
      <c r="Q11" s="7" t="s">
        <v>12</v>
      </c>
      <c r="R11" s="7" t="s">
        <v>13</v>
      </c>
      <c r="S11" s="8" t="s">
        <v>39</v>
      </c>
      <c r="T11" s="7" t="s">
        <v>31</v>
      </c>
    </row>
    <row r="12" spans="1:20">
      <c r="A12" t="s">
        <v>28</v>
      </c>
      <c r="B12" t="s">
        <v>29</v>
      </c>
      <c r="C12">
        <v>749</v>
      </c>
      <c r="D12">
        <f>E12*F12*G12*H12</f>
        <v>34.020000000000003</v>
      </c>
      <c r="E12">
        <v>1E-3</v>
      </c>
      <c r="F12">
        <v>250</v>
      </c>
      <c r="G12" s="1">
        <v>0.504</v>
      </c>
      <c r="H12">
        <f>4.5*60</f>
        <v>270</v>
      </c>
      <c r="I12">
        <v>126</v>
      </c>
      <c r="J12" s="1">
        <v>4.0199999999999996</v>
      </c>
      <c r="K12" t="s">
        <v>37</v>
      </c>
      <c r="L12" s="1">
        <v>11</v>
      </c>
      <c r="M12" s="1">
        <f>J12-LOG10(1+10^(L12-6.5))</f>
        <v>-0.48001373338023878</v>
      </c>
      <c r="N12">
        <f>0.5-0.01*(I12-25)-M12</f>
        <v>-2.9986266619761226E-2</v>
      </c>
      <c r="O12">
        <f>10^N12</f>
        <v>0.93328381288925966</v>
      </c>
      <c r="P12">
        <f t="shared" ref="P12" si="4">ROUND(LOG10(O12),2)</f>
        <v>-0.03</v>
      </c>
      <c r="Q12" s="4">
        <f>O12*C12</f>
        <v>699.02957585405545</v>
      </c>
      <c r="R12" s="4">
        <f>Q12*E12*F12*H12</f>
        <v>47184.496370148743</v>
      </c>
      <c r="S12" s="4">
        <f>ABS(R12-D12)</f>
        <v>47150.476370148746</v>
      </c>
      <c r="T12" t="s">
        <v>33</v>
      </c>
    </row>
    <row r="14" spans="1:20">
      <c r="A14" t="s">
        <v>41</v>
      </c>
      <c r="B14" t="s">
        <v>30</v>
      </c>
    </row>
    <row r="15" spans="1:20">
      <c r="A15" t="s">
        <v>42</v>
      </c>
    </row>
    <row r="17" spans="1:19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</sheetData>
  <hyperlinks>
    <hyperlink ref="B8" r:id="rId1" xr:uid="{5668E375-A8A5-4960-B9AF-683DF6DC32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5792-FCD3-42EF-9613-8D2EC4B1234A}">
  <dimension ref="A1"/>
  <sheetViews>
    <sheetView workbookViewId="0"/>
  </sheetViews>
  <sheetFormatPr defaultRowHeight="1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 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Bertsch Aguilar</dc:creator>
  <cp:keywords/>
  <dc:description/>
  <cp:lastModifiedBy>Esteban Bertsch Aguilar</cp:lastModifiedBy>
  <cp:revision/>
  <dcterms:created xsi:type="dcterms:W3CDTF">2025-08-22T14:23:46Z</dcterms:created>
  <dcterms:modified xsi:type="dcterms:W3CDTF">2026-07-05T21:12:35Z</dcterms:modified>
  <cp:category/>
  <cp:contentStatus/>
</cp:coreProperties>
</file>